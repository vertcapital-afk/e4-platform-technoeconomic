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fer\OneDrive\Desktop\"/>
    </mc:Choice>
  </mc:AlternateContent>
  <xr:revisionPtr revIDLastSave="0" documentId="13_ncr:1_{0822C88E-1FF1-4865-9CB7-2B5B9DA9E1E4}" xr6:coauthVersionLast="47" xr6:coauthVersionMax="47" xr10:uidLastSave="{00000000-0000-0000-0000-000000000000}"/>
  <bookViews>
    <workbookView xWindow="43080" yWindow="-120" windowWidth="29040" windowHeight="15720" xr2:uid="{1441FD13-53DE-4D14-82EA-13AED67F5F6E}"/>
  </bookViews>
  <sheets>
    <sheet name="BAU" sheetId="2" r:id="rId1"/>
    <sheet name="Multisplit" sheetId="6" r:id="rId2"/>
    <sheet name="HP" sheetId="3" r:id="rId3"/>
    <sheet name="PV" sheetId="7" r:id="rId4"/>
    <sheet name="EPW" sheetId="8" r:id="rId5"/>
    <sheet name="BAU Results" sheetId="9" r:id="rId6"/>
    <sheet name="Multisplit Results" sheetId="10" r:id="rId7"/>
    <sheet name="HP Results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1" i="11" l="1"/>
  <c r="C22" i="11"/>
  <c r="C61" i="11"/>
  <c r="C62" i="11"/>
  <c r="C96" i="11"/>
  <c r="C97" i="11"/>
  <c r="C101" i="11" s="1"/>
  <c r="C131" i="11"/>
  <c r="C132" i="11"/>
  <c r="C141" i="11"/>
  <c r="C143" i="11" s="1"/>
  <c r="C145" i="11" s="1"/>
  <c r="C126" i="11"/>
  <c r="C121" i="11"/>
  <c r="C106" i="11"/>
  <c r="C108" i="11" s="1"/>
  <c r="C110" i="11" s="1"/>
  <c r="C91" i="11"/>
  <c r="C86" i="11"/>
  <c r="C71" i="11"/>
  <c r="C73" i="11" s="1"/>
  <c r="C75" i="11" s="1"/>
  <c r="C56" i="11"/>
  <c r="C51" i="11"/>
  <c r="C31" i="11"/>
  <c r="C33" i="11" s="1"/>
  <c r="C35" i="11" s="1"/>
  <c r="C16" i="11"/>
  <c r="C11" i="11"/>
  <c r="C3" i="11"/>
  <c r="C2" i="11"/>
  <c r="C131" i="10"/>
  <c r="C132" i="10"/>
  <c r="C96" i="10"/>
  <c r="C97" i="10"/>
  <c r="C61" i="10"/>
  <c r="C62" i="10"/>
  <c r="C21" i="10"/>
  <c r="C22" i="10"/>
  <c r="C141" i="10"/>
  <c r="C143" i="10" s="1"/>
  <c r="C145" i="10" s="1"/>
  <c r="C126" i="10"/>
  <c r="C121" i="10"/>
  <c r="C106" i="10"/>
  <c r="C108" i="10" s="1"/>
  <c r="C110" i="10" s="1"/>
  <c r="C91" i="10"/>
  <c r="C86" i="10"/>
  <c r="C71" i="10"/>
  <c r="C73" i="10" s="1"/>
  <c r="C75" i="10" s="1"/>
  <c r="C56" i="10"/>
  <c r="C51" i="10"/>
  <c r="C31" i="10"/>
  <c r="C33" i="10" s="1"/>
  <c r="C35" i="10" s="1"/>
  <c r="C16" i="10"/>
  <c r="C11" i="10"/>
  <c r="C3" i="10"/>
  <c r="C2" i="10"/>
  <c r="O5" i="8"/>
  <c r="N5" i="8"/>
  <c r="N23" i="8"/>
  <c r="O23" i="8"/>
  <c r="N17" i="8"/>
  <c r="O17" i="8"/>
  <c r="N11" i="8"/>
  <c r="O11" i="8"/>
  <c r="C129" i="9"/>
  <c r="C124" i="9"/>
  <c r="C93" i="9"/>
  <c r="C88" i="9"/>
  <c r="C57" i="9"/>
  <c r="C52" i="9"/>
  <c r="C16" i="9"/>
  <c r="C11" i="9"/>
  <c r="C135" i="9"/>
  <c r="C134" i="9"/>
  <c r="C145" i="9"/>
  <c r="C147" i="9" s="1"/>
  <c r="C149" i="9" s="1"/>
  <c r="C140" i="9"/>
  <c r="C139" i="9"/>
  <c r="C98" i="9"/>
  <c r="C103" i="9" s="1"/>
  <c r="C99" i="9"/>
  <c r="C109" i="9"/>
  <c r="C111" i="9" s="1"/>
  <c r="C113" i="9" s="1"/>
  <c r="C104" i="9"/>
  <c r="C62" i="9"/>
  <c r="C67" i="9" s="1"/>
  <c r="C63" i="9"/>
  <c r="C73" i="9"/>
  <c r="C75" i="9" s="1"/>
  <c r="C77" i="9" s="1"/>
  <c r="C68" i="9"/>
  <c r="C32" i="9"/>
  <c r="C34" i="9" s="1"/>
  <c r="C36" i="9" s="1"/>
  <c r="C27" i="9"/>
  <c r="C22" i="9"/>
  <c r="C21" i="9"/>
  <c r="C26" i="9" s="1"/>
  <c r="C3" i="9"/>
  <c r="C2" i="9"/>
  <c r="H4" i="7"/>
  <c r="H3" i="7"/>
  <c r="H2" i="7"/>
  <c r="I4" i="7"/>
  <c r="D3" i="7"/>
  <c r="F3" i="7" s="1"/>
  <c r="G3" i="7" s="1"/>
  <c r="D2" i="7"/>
  <c r="F2" i="7" s="1"/>
  <c r="G2" i="7" s="1"/>
  <c r="G31" i="3"/>
  <c r="F38" i="6"/>
  <c r="F37" i="6"/>
  <c r="F36" i="6"/>
  <c r="C136" i="11" l="1"/>
  <c r="C66" i="11"/>
  <c r="C26" i="11"/>
  <c r="E127" i="11"/>
  <c r="E122" i="11"/>
  <c r="E57" i="11"/>
  <c r="E92" i="11"/>
  <c r="E87" i="11"/>
  <c r="E12" i="11"/>
  <c r="E52" i="11"/>
  <c r="E17" i="11"/>
  <c r="D127" i="11"/>
  <c r="D87" i="11"/>
  <c r="D122" i="11"/>
  <c r="D52" i="11"/>
  <c r="D12" i="11"/>
  <c r="D92" i="11"/>
  <c r="D57" i="11"/>
  <c r="D17" i="11"/>
  <c r="C101" i="10"/>
  <c r="C66" i="10"/>
  <c r="C136" i="10"/>
  <c r="C26" i="10"/>
  <c r="E127" i="10"/>
  <c r="E122" i="10"/>
  <c r="E87" i="10"/>
  <c r="E17" i="10"/>
  <c r="E92" i="10"/>
  <c r="E52" i="10"/>
  <c r="E57" i="10"/>
  <c r="E12" i="10"/>
  <c r="D52" i="10"/>
  <c r="D127" i="10"/>
  <c r="D122" i="10"/>
  <c r="D87" i="10"/>
  <c r="D57" i="10"/>
  <c r="D17" i="10"/>
  <c r="D12" i="10"/>
  <c r="D92" i="10"/>
  <c r="E130" i="9"/>
  <c r="E94" i="9"/>
  <c r="E89" i="9"/>
  <c r="E125" i="9"/>
  <c r="D130" i="9"/>
  <c r="D89" i="9"/>
  <c r="D125" i="9"/>
  <c r="D94" i="9"/>
  <c r="E53" i="9"/>
  <c r="E12" i="9"/>
  <c r="E58" i="9"/>
  <c r="E17" i="9"/>
  <c r="D17" i="9"/>
  <c r="D58" i="9"/>
  <c r="D53" i="9"/>
  <c r="D12" i="9"/>
  <c r="G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MSF</author>
  </authors>
  <commentList>
    <comment ref="B3" authorId="0" shapeId="0" xr:uid="{9EEAF91A-C474-4F28-9FD6-D16A927F9C4B}">
      <text>
        <r>
          <rPr>
            <b/>
            <sz val="9"/>
            <color indexed="81"/>
            <rFont val="Tahoma"/>
            <family val="2"/>
          </rPr>
          <t>Salas e quartos</t>
        </r>
      </text>
    </comment>
    <comment ref="C22" authorId="0" shapeId="0" xr:uid="{C906FDC4-3025-4651-BA1E-4253B7E92792}">
      <text>
        <r>
          <rPr>
            <b/>
            <sz val="9"/>
            <color indexed="81"/>
            <rFont val="Tahoma"/>
            <family val="2"/>
          </rPr>
          <t>Estimativa: consumo bomba AQS = ~5% bombas AVAC vizinhos
Pode-se desprezar, dado o valor e uma vez que na realidade o sistema não teria bomba circuladora</t>
        </r>
      </text>
    </comment>
    <comment ref="C30" authorId="0" shapeId="0" xr:uid="{C57BDA8B-F690-4430-A827-9EAC3C1A2C80}">
      <text>
        <r>
          <rPr>
            <b/>
            <sz val="9"/>
            <color indexed="81"/>
            <rFont val="Tahoma"/>
            <family val="2"/>
          </rPr>
          <t>Valor negativo: armazenamento líquido anual é positivo (negativo para o sistema)</t>
        </r>
      </text>
    </comment>
    <comment ref="C33" authorId="0" shapeId="0" xr:uid="{6DFCD13A-F5F4-48DB-AD7E-92567F7BB133}">
      <text>
        <r>
          <rPr>
            <b/>
            <sz val="9"/>
            <color indexed="81"/>
            <rFont val="Tahoma"/>
            <family val="2"/>
          </rPr>
          <t>Valor negativo: energia que se vende à rede</t>
        </r>
      </text>
    </comment>
    <comment ref="C63" authorId="0" shapeId="0" xr:uid="{57A67A19-4087-4070-98DA-B247E1292CB8}">
      <text>
        <r>
          <rPr>
            <b/>
            <sz val="9"/>
            <color indexed="81"/>
            <rFont val="Tahoma"/>
            <family val="2"/>
          </rPr>
          <t>Estimativa: consumo bomba AQS = ~5% bombas AVAC vizinhos
Pode-se desprezar, dado o valor e uma vez que na realidade o sistema não teria bomba circuladora</t>
        </r>
      </text>
    </comment>
    <comment ref="C71" authorId="0" shapeId="0" xr:uid="{C23C1306-AB92-4AC2-A693-1A795C426422}">
      <text>
        <r>
          <rPr>
            <b/>
            <sz val="9"/>
            <color indexed="81"/>
            <rFont val="Tahoma"/>
            <family val="2"/>
          </rPr>
          <t>Valor negativo: armazenamento líquido anual é positivo (negativo para o sistema)</t>
        </r>
      </text>
    </comment>
    <comment ref="C74" authorId="0" shapeId="0" xr:uid="{3A83D38F-FA7F-4A51-8079-3FE14B077F74}">
      <text>
        <r>
          <rPr>
            <b/>
            <sz val="9"/>
            <color indexed="81"/>
            <rFont val="Tahoma"/>
            <family val="2"/>
          </rPr>
          <t>Valor negativo: energia que se vende à rede</t>
        </r>
      </text>
    </comment>
    <comment ref="C99" authorId="0" shapeId="0" xr:uid="{DDC330F0-BF62-487F-B839-01E53E1FE39E}">
      <text>
        <r>
          <rPr>
            <b/>
            <sz val="9"/>
            <color indexed="81"/>
            <rFont val="Tahoma"/>
            <family val="2"/>
          </rPr>
          <t>Estimativa: consumo bomba AQS = ~5% bombas AVAC vizinhos
Pode-se desprezar, dado o valor e uma vez que na realidade o sistema não teria bomba circuladora</t>
        </r>
      </text>
    </comment>
    <comment ref="C107" authorId="0" shapeId="0" xr:uid="{6019E35E-AD61-4DE3-9C2B-92AF7ABA4DB2}">
      <text>
        <r>
          <rPr>
            <b/>
            <sz val="9"/>
            <color indexed="81"/>
            <rFont val="Tahoma"/>
            <family val="2"/>
          </rPr>
          <t>Valor negativo: armazenamento líquido anual é positivo (negativo para o sistema)</t>
        </r>
      </text>
    </comment>
    <comment ref="C110" authorId="0" shapeId="0" xr:uid="{4CB8FF8C-0391-47ED-9FFD-4D1C1907D2A7}">
      <text>
        <r>
          <rPr>
            <b/>
            <sz val="9"/>
            <color indexed="81"/>
            <rFont val="Tahoma"/>
            <family val="2"/>
          </rPr>
          <t>Valor negativo: energia que se vende à rede</t>
        </r>
      </text>
    </comment>
    <comment ref="C135" authorId="0" shapeId="0" xr:uid="{B74D5884-4E74-48A4-8F62-D41915D4EF56}">
      <text>
        <r>
          <rPr>
            <b/>
            <sz val="9"/>
            <color indexed="81"/>
            <rFont val="Tahoma"/>
            <family val="2"/>
          </rPr>
          <t>Estimativa: consumo bomba AQS = ~5% bombas AVAC vizinhos
Pode-se desprezar, dado o valor e uma vez que na realidade o sistema não teria bomba circuladora</t>
        </r>
      </text>
    </comment>
    <comment ref="C143" authorId="0" shapeId="0" xr:uid="{F2BF2FF3-4C00-447F-86CB-14B2D8DAF46D}">
      <text>
        <r>
          <rPr>
            <b/>
            <sz val="9"/>
            <color indexed="81"/>
            <rFont val="Tahoma"/>
            <family val="2"/>
          </rPr>
          <t>Valor negativo: armazenamento líquido anual é positivo (negativo para o sistema)</t>
        </r>
      </text>
    </comment>
    <comment ref="C146" authorId="0" shapeId="0" xr:uid="{F085F7DE-8F1E-44F2-A83B-E46D3E12AD78}">
      <text>
        <r>
          <rPr>
            <b/>
            <sz val="9"/>
            <color indexed="81"/>
            <rFont val="Tahoma"/>
            <family val="2"/>
          </rPr>
          <t>Valor negativo: energia que se vende à rede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MSF</author>
  </authors>
  <commentList>
    <comment ref="B3" authorId="0" shapeId="0" xr:uid="{426651DE-D506-4951-BAC5-DDF31E7EA41A}">
      <text>
        <r>
          <rPr>
            <b/>
            <sz val="9"/>
            <color indexed="81"/>
            <rFont val="Tahoma"/>
            <family val="2"/>
          </rPr>
          <t>Salas e quartos</t>
        </r>
      </text>
    </comment>
    <comment ref="C22" authorId="0" shapeId="0" xr:uid="{02F5315A-0628-4097-B870-0AD8210D01A3}">
      <text>
        <r>
          <rPr>
            <b/>
            <sz val="9"/>
            <color indexed="81"/>
            <rFont val="Tahoma"/>
            <family val="2"/>
          </rPr>
          <t>Estimativa: consumo bomba AQS = ~5% bombas AVAC vizinhos</t>
        </r>
      </text>
    </comment>
    <comment ref="C29" authorId="0" shapeId="0" xr:uid="{D5931F24-3969-4B1C-9A64-D4DD7B50550B}">
      <text>
        <r>
          <rPr>
            <b/>
            <sz val="9"/>
            <color indexed="81"/>
            <rFont val="Tahoma"/>
            <family val="2"/>
          </rPr>
          <t>Valor negativo: armazenamento líquido anual é positivo (negativo para o sistema)</t>
        </r>
      </text>
    </comment>
    <comment ref="C32" authorId="0" shapeId="0" xr:uid="{5A005457-1E89-4C5F-9136-2F87EEA3A44C}">
      <text>
        <r>
          <rPr>
            <b/>
            <sz val="9"/>
            <color indexed="81"/>
            <rFont val="Tahoma"/>
            <family val="2"/>
          </rPr>
          <t>Valor negativo: energia que se vende à rede</t>
        </r>
      </text>
    </comment>
    <comment ref="C62" authorId="0" shapeId="0" xr:uid="{1407EAD4-396D-442A-B9C9-5A8EFB67BCAD}">
      <text>
        <r>
          <rPr>
            <b/>
            <sz val="9"/>
            <color indexed="81"/>
            <rFont val="Tahoma"/>
            <family val="2"/>
          </rPr>
          <t>Estimativa: consumo bomba AQS = ~5% bombas AVAC vizinhos</t>
        </r>
      </text>
    </comment>
    <comment ref="C69" authorId="0" shapeId="0" xr:uid="{D6A79719-946A-4521-8DBE-832E63C1DF7D}">
      <text>
        <r>
          <rPr>
            <b/>
            <sz val="9"/>
            <color indexed="81"/>
            <rFont val="Tahoma"/>
            <family val="2"/>
          </rPr>
          <t>Valor negativo: armazenamento líquido anual é positivo (negativo para o sistema)</t>
        </r>
      </text>
    </comment>
    <comment ref="C72" authorId="0" shapeId="0" xr:uid="{5D95F21B-EE10-43AB-A0F4-476FBDFB1313}">
      <text>
        <r>
          <rPr>
            <b/>
            <sz val="9"/>
            <color indexed="81"/>
            <rFont val="Tahoma"/>
            <family val="2"/>
          </rPr>
          <t>Valor negativo: energia que se vende à rede</t>
        </r>
      </text>
    </comment>
    <comment ref="C97" authorId="0" shapeId="0" xr:uid="{0AF2D252-2C35-4F3E-BA00-89BA161F5C29}">
      <text>
        <r>
          <rPr>
            <b/>
            <sz val="9"/>
            <color indexed="81"/>
            <rFont val="Tahoma"/>
            <family val="2"/>
          </rPr>
          <t>Estimativa: consumo bomba AQS = ~5% bombas AVAC vizinhos</t>
        </r>
      </text>
    </comment>
    <comment ref="C104" authorId="0" shapeId="0" xr:uid="{7F1ECCBD-DF9E-4A58-8381-A783194C2AD8}">
      <text>
        <r>
          <rPr>
            <b/>
            <sz val="9"/>
            <color indexed="81"/>
            <rFont val="Tahoma"/>
            <family val="2"/>
          </rPr>
          <t>Valor negativo: armazenamento líquido anual é positivo (negativo para o sistema)</t>
        </r>
      </text>
    </comment>
    <comment ref="C107" authorId="0" shapeId="0" xr:uid="{C576FAF1-E94B-4A40-8613-F6F5505D4F4B}">
      <text>
        <r>
          <rPr>
            <b/>
            <sz val="9"/>
            <color indexed="81"/>
            <rFont val="Tahoma"/>
            <family val="2"/>
          </rPr>
          <t>Valor negativo: energia que se vende à rede</t>
        </r>
      </text>
    </comment>
    <comment ref="C132" authorId="0" shapeId="0" xr:uid="{5D974548-73AA-44F2-B908-31B85E151647}">
      <text>
        <r>
          <rPr>
            <b/>
            <sz val="9"/>
            <color indexed="81"/>
            <rFont val="Tahoma"/>
            <family val="2"/>
          </rPr>
          <t>Estimativa: consumo bomba AQS = ~5% bombas AVAC vizinhos</t>
        </r>
      </text>
    </comment>
    <comment ref="C139" authorId="0" shapeId="0" xr:uid="{76DC9B75-96BA-47D8-AA30-E79F666B9616}">
      <text>
        <r>
          <rPr>
            <b/>
            <sz val="9"/>
            <color indexed="81"/>
            <rFont val="Tahoma"/>
            <family val="2"/>
          </rPr>
          <t>Valor negativo: armazenamento líquido anual é positivo (negativo para o sistema)</t>
        </r>
      </text>
    </comment>
    <comment ref="C142" authorId="0" shapeId="0" xr:uid="{C81B7705-BB1B-4373-8AAF-495582DB4D5F}">
      <text>
        <r>
          <rPr>
            <b/>
            <sz val="9"/>
            <color indexed="81"/>
            <rFont val="Tahoma"/>
            <family val="2"/>
          </rPr>
          <t>Valor negativo: energia que se vende à rede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MSF</author>
  </authors>
  <commentList>
    <comment ref="B3" authorId="0" shapeId="0" xr:uid="{6B888E44-0DAC-465E-B9BE-1D6B1D2EAE7B}">
      <text>
        <r>
          <rPr>
            <b/>
            <sz val="9"/>
            <color indexed="81"/>
            <rFont val="Tahoma"/>
            <family val="2"/>
          </rPr>
          <t>Salas e quartos</t>
        </r>
      </text>
    </comment>
    <comment ref="C22" authorId="0" shapeId="0" xr:uid="{E95CCBC5-B4B4-4C77-85C4-28839A76FB2B}">
      <text>
        <r>
          <rPr>
            <b/>
            <sz val="9"/>
            <color indexed="81"/>
            <rFont val="Tahoma"/>
            <family val="2"/>
          </rPr>
          <t>Total menos estimativa vizinhos</t>
        </r>
      </text>
    </comment>
    <comment ref="C29" authorId="0" shapeId="0" xr:uid="{976EAD92-A948-406F-AE01-40EDEE82F0C4}">
      <text>
        <r>
          <rPr>
            <b/>
            <sz val="9"/>
            <color indexed="81"/>
            <rFont val="Tahoma"/>
            <family val="2"/>
          </rPr>
          <t>Valor negativo: armazenamento líquido anual é positivo (negativo para o sistema)</t>
        </r>
      </text>
    </comment>
    <comment ref="C32" authorId="0" shapeId="0" xr:uid="{017A5FF3-10FC-489B-A1F4-824B2901F2C3}">
      <text>
        <r>
          <rPr>
            <b/>
            <sz val="9"/>
            <color indexed="81"/>
            <rFont val="Tahoma"/>
            <family val="2"/>
          </rPr>
          <t>Valor negativo: energia que se vende à rede</t>
        </r>
      </text>
    </comment>
    <comment ref="C62" authorId="0" shapeId="0" xr:uid="{5734DE48-7101-4A32-BAD0-B1C722F6CCEE}">
      <text>
        <r>
          <rPr>
            <b/>
            <sz val="9"/>
            <color indexed="81"/>
            <rFont val="Tahoma"/>
            <family val="2"/>
          </rPr>
          <t>Total menos estimativa vizinhos</t>
        </r>
      </text>
    </comment>
    <comment ref="C69" authorId="0" shapeId="0" xr:uid="{B94F335D-C36B-45D6-87FB-74743C3D8BAF}">
      <text>
        <r>
          <rPr>
            <b/>
            <sz val="9"/>
            <color indexed="81"/>
            <rFont val="Tahoma"/>
            <family val="2"/>
          </rPr>
          <t>Valor negativo: armazenamento líquido anual é positivo (negativo para o sistema)</t>
        </r>
      </text>
    </comment>
    <comment ref="C72" authorId="0" shapeId="0" xr:uid="{345EF1C0-BBF0-43AD-8D7E-29760CE94F60}">
      <text>
        <r>
          <rPr>
            <b/>
            <sz val="9"/>
            <color indexed="81"/>
            <rFont val="Tahoma"/>
            <family val="2"/>
          </rPr>
          <t>Valor negativo: energia que se vende à rede</t>
        </r>
      </text>
    </comment>
    <comment ref="C97" authorId="0" shapeId="0" xr:uid="{AFA11787-92AA-4EDD-9012-44F7B900218C}">
      <text>
        <r>
          <rPr>
            <b/>
            <sz val="9"/>
            <color indexed="81"/>
            <rFont val="Tahoma"/>
            <family val="2"/>
          </rPr>
          <t>Total menos estimativa vizinhos</t>
        </r>
      </text>
    </comment>
    <comment ref="C104" authorId="0" shapeId="0" xr:uid="{82A9E6CF-D82D-45F8-A4AC-0A3EF6DEDD8A}">
      <text>
        <r>
          <rPr>
            <b/>
            <sz val="9"/>
            <color indexed="81"/>
            <rFont val="Tahoma"/>
            <family val="2"/>
          </rPr>
          <t>Valor negativo: armazenamento líquido anual é positivo (negativo para o sistema)</t>
        </r>
      </text>
    </comment>
    <comment ref="C107" authorId="0" shapeId="0" xr:uid="{670D2972-6F97-4E72-8BA0-4BF975FBC87E}">
      <text>
        <r>
          <rPr>
            <b/>
            <sz val="9"/>
            <color indexed="81"/>
            <rFont val="Tahoma"/>
            <family val="2"/>
          </rPr>
          <t>Valor negativo: energia que se vende à rede</t>
        </r>
      </text>
    </comment>
    <comment ref="C132" authorId="0" shapeId="0" xr:uid="{12C79FC2-DCD2-4E57-93CE-7DE86EB35E28}">
      <text>
        <r>
          <rPr>
            <b/>
            <sz val="9"/>
            <color indexed="81"/>
            <rFont val="Tahoma"/>
            <family val="2"/>
          </rPr>
          <t>Total menos estimativa vizinhos</t>
        </r>
      </text>
    </comment>
    <comment ref="C139" authorId="0" shapeId="0" xr:uid="{CE5614C4-9BED-44F5-ACA7-CD17BD0192B8}">
      <text>
        <r>
          <rPr>
            <b/>
            <sz val="9"/>
            <color indexed="81"/>
            <rFont val="Tahoma"/>
            <family val="2"/>
          </rPr>
          <t>Valor negativo: armazenamento líquido anual é positivo (negativo para o sistema)</t>
        </r>
      </text>
    </comment>
    <comment ref="C142" authorId="0" shapeId="0" xr:uid="{5A8BAB56-9F6C-4BD8-BF12-0121F7EC1BB7}">
      <text>
        <r>
          <rPr>
            <b/>
            <sz val="9"/>
            <color indexed="81"/>
            <rFont val="Tahoma"/>
            <family val="2"/>
          </rPr>
          <t>Valor negativo: energia que se vende à rede</t>
        </r>
      </text>
    </comment>
  </commentList>
</comments>
</file>

<file path=xl/sharedStrings.xml><?xml version="1.0" encoding="utf-8"?>
<sst xmlns="http://schemas.openxmlformats.org/spreadsheetml/2006/main" count="902" uniqueCount="178">
  <si>
    <t>Quarto 1</t>
  </si>
  <si>
    <t>Quarto 2</t>
  </si>
  <si>
    <t>Sala</t>
  </si>
  <si>
    <t>Heating (kW)</t>
  </si>
  <si>
    <t>Cooling (kW)</t>
  </si>
  <si>
    <t>Winter design: DesignBuilder with 1.25 margin, 99.6%</t>
  </si>
  <si>
    <t>Summer design: DesignBuilder with 1.15 margin, 0.4%</t>
  </si>
  <si>
    <t>DHW</t>
  </si>
  <si>
    <t>https://www.daikin.eu/en_us/products/product.html/EKHHEU-CV37.html</t>
  </si>
  <si>
    <t>https://www.daikin.pt/pt_pt/products/product.table.html/ekhhe-cv37.html</t>
  </si>
  <si>
    <t>Água</t>
  </si>
  <si>
    <t>Unidade exterior</t>
  </si>
  <si>
    <t>Heat (kW)</t>
  </si>
  <si>
    <t>Cool (kW)</t>
  </si>
  <si>
    <t>https://mitsubishielectric.pt/documents/20124/50804/MXZ-VF.pdf</t>
  </si>
  <si>
    <t>Unidades interiores</t>
  </si>
  <si>
    <t>Modelo</t>
  </si>
  <si>
    <t>MSZ-AY20VGK</t>
  </si>
  <si>
    <t>MSZ-AY15VGK</t>
  </si>
  <si>
    <t>MSZ-AY25VGK</t>
  </si>
  <si>
    <t>Daikin Altherma EKHHEU200CV37</t>
  </si>
  <si>
    <t>Daikin Altherma 3 R F</t>
  </si>
  <si>
    <t>Unidade exterior ERGA 06EVH</t>
  </si>
  <si>
    <t>Unidade interior EHVX 08S18E6V</t>
  </si>
  <si>
    <t>https://daitherma.pt/ficha-produto/bombas-de-calor/Daikin-Altherma-3-R-F.pdf</t>
  </si>
  <si>
    <t>https://www.daikin.pt/pt_pt/products/product.html/FWT-HT.html</t>
  </si>
  <si>
    <t>FWT03HATNMV1</t>
  </si>
  <si>
    <t>Salas</t>
  </si>
  <si>
    <t>HVAC</t>
  </si>
  <si>
    <t>Estes resultados referem-se apenas ao apartamento em estudo</t>
  </si>
  <si>
    <t>Building useful area (m2)</t>
  </si>
  <si>
    <t>Conditioned useful area (m2)</t>
  </si>
  <si>
    <t>Annual</t>
  </si>
  <si>
    <t>Equipment electricity (kWh)</t>
  </si>
  <si>
    <t>Lighting electricity (kWh)</t>
  </si>
  <si>
    <t>Per building m2</t>
  </si>
  <si>
    <t>Per conditioned m2</t>
  </si>
  <si>
    <t>Heating electricity (kWh)</t>
  </si>
  <si>
    <t>Cooling electricity (kWh)</t>
  </si>
  <si>
    <t>-</t>
  </si>
  <si>
    <t>PV generation (kWh)</t>
  </si>
  <si>
    <t>Storage (kWh)</t>
  </si>
  <si>
    <t>Inverter losses (kWh)</t>
  </si>
  <si>
    <t>Useful PV generation (kWh)</t>
  </si>
  <si>
    <t>Surplus to utility (kWh)</t>
  </si>
  <si>
    <t>Generation to building  (kWh)</t>
  </si>
  <si>
    <t>Electricity from utility (kWh)</t>
  </si>
  <si>
    <t>Building needs (kWh)</t>
  </si>
  <si>
    <t>DHW electricity HP (kWh)</t>
  </si>
  <si>
    <t>DHW electricity backup (kWh)</t>
  </si>
  <si>
    <t>Fans (kWh)</t>
  </si>
  <si>
    <t>TOTAL ELECTRICITY (kWh)</t>
  </si>
  <si>
    <t>PV</t>
  </si>
  <si>
    <t>BAU</t>
  </si>
  <si>
    <t>DHW nat. gas (kWh)</t>
  </si>
  <si>
    <t>GEN.</t>
  </si>
  <si>
    <t>Heating Setpoint Unmet Degree-Hours [°C·hr] - Quarto 1</t>
  </si>
  <si>
    <t>Heating Setpoint Unmet Degree-Hours [°C·hr] - Quarto 2</t>
  </si>
  <si>
    <t>Heating Setpoint Unmet Degree-Hours [°C·hr] - Salas</t>
  </si>
  <si>
    <t>Cooling Setpoint Unmet Degree-Hours [°C·hr] - Quarto 1</t>
  </si>
  <si>
    <t>Cooling Setpoint Unmet Degree-Hours [°C·hr] - Salas</t>
  </si>
  <si>
    <t>Heating thermal needs (kWh)</t>
  </si>
  <si>
    <t>Cooling thermal needs (kWh)</t>
  </si>
  <si>
    <t>DHW thermal needs (kWh)</t>
  </si>
  <si>
    <t>Cooling Setpoint Unmet Degree-Hours [°C·hr] - Quarto 2</t>
  </si>
  <si>
    <t>TOTAL GAS (kWh)</t>
  </si>
  <si>
    <t>Pumps (kWh)</t>
  </si>
  <si>
    <t>AVAC</t>
  </si>
  <si>
    <t>Considerado:</t>
  </si>
  <si>
    <t>AQUECIMENTO</t>
  </si>
  <si>
    <t>Radiador eléctrico, 1.5 kW, COP = 1</t>
  </si>
  <si>
    <t>ARREFECIMENTO</t>
  </si>
  <si>
    <t>AC, 2.6 kW térmicos, COP = 2.6, caudal ar = 320 m3/h</t>
  </si>
  <si>
    <t>AQS</t>
  </si>
  <si>
    <t>Esquentador a gás natural, 15 kW térmicos, 89% eficiência, "reservatório" 4 L</t>
  </si>
  <si>
    <t>NECESSIDADES TÉRMICAS (heating/cooling design)</t>
  </si>
  <si>
    <t>Considerado para 4 pessoas:</t>
  </si>
  <si>
    <t>MAS, dada a dimensão do apartamento e para "aproveitar" os equipamentos já seleccionados para o iiiUC,  optei por um único multisplit com 3 unidades interiores</t>
  </si>
  <si>
    <t>V (L)</t>
  </si>
  <si>
    <t>COP</t>
  </si>
  <si>
    <t>Elect. backup (kW)</t>
  </si>
  <si>
    <t>Caudal (m3/h)</t>
  </si>
  <si>
    <t>Mitsubishi MXZ-3F54VF (2-3 units)</t>
  </si>
  <si>
    <t>AQS+AVAC</t>
  </si>
  <si>
    <t>V dhw (L)</t>
  </si>
  <si>
    <t>COP dhw</t>
  </si>
  <si>
    <t>Elect. backup dhw (kW)</t>
  </si>
  <si>
    <t>COP heat</t>
  </si>
  <si>
    <t>COP cool</t>
  </si>
  <si>
    <t>Fancoils</t>
  </si>
  <si>
    <t>MODELAÇÃO DESIGNBUILDER:</t>
  </si>
  <si>
    <t>Aquecimento: 1 radiador eléctrico p/zona</t>
  </si>
  <si>
    <t>Arrefecimento: 1 packaged terminal air conditioner por zona apenas em arrefecimento</t>
  </si>
  <si>
    <t>AQS: 1 reservatório de AQS com volume mínimo e elemento de aquecimento a gás natural</t>
  </si>
  <si>
    <t>Embora se trate de uma única bomba de calor para aquecimento, arrefecimento e AQS, tal é modelado com 3 objectos diferentes por limitações de modelação:</t>
  </si>
  <si>
    <t>Inicialmente, considerei um multisplit nos quartos e um split na sala</t>
  </si>
  <si>
    <t>Aquecimento: 1 bomba de calor ar-água (heating) que alimenta as serpentinas dos 3 fancoils (1 por zona)</t>
  </si>
  <si>
    <t>Arrefecimento: 1 bomba de calor ar-água (cooling) que alimenta as serpentinas dos 3 fancoils (1 por zona)</t>
  </si>
  <si>
    <t>AQS: 1 reservatório de AQS com bomba de calor ar-água e apoio eléctrico</t>
  </si>
  <si>
    <t>Reservatório AQS com bomba de calor ar-água</t>
  </si>
  <si>
    <t>Vizinhos: radiador (aquecimento) e fancoil (arrefecimento) alimentados por disctrict heating/cooling [únicos consumos eléctricos: bombas circulação (muito baixo) e ventiladores dos fancoils]</t>
  </si>
  <si>
    <t>m3/s</t>
  </si>
  <si>
    <t>Caudal máx (m3/h)</t>
  </si>
  <si>
    <t>v1: Aquecimento/Arrefecimento: 1 unidade VRF exterior que alimenta 3 unidades interiores (1 por zona) -&gt; Resultados não satisfatórios</t>
  </si>
  <si>
    <t>v2: Dados os resultados não satisfatórios com o VRF: Aquecimento/Arrefecimento: 1 packaged terminal heat pump por zona (com as especificações das unidades interiores do multisplit e os COP da unidade exterior)</t>
  </si>
  <si>
    <t>C (m)</t>
  </si>
  <si>
    <t>L (m)</t>
  </si>
  <si>
    <t>A (m2)</t>
  </si>
  <si>
    <t>P (W)</t>
  </si>
  <si>
    <t>P' (W/m2)</t>
  </si>
  <si>
    <t>Eficiência (%)</t>
  </si>
  <si>
    <t>Link</t>
  </si>
  <si>
    <t>A</t>
  </si>
  <si>
    <t>B</t>
  </si>
  <si>
    <t>https://www.solarshop.pt/pt/hyundai-hyundai-455w-hit-h455le-fb-painel-solar-unidade</t>
  </si>
  <si>
    <t>https://www.solarshop.pt/pt/dmegc-dmegc-450w---dm450g12rt-painel-solar-unidade</t>
  </si>
  <si>
    <t>P_12 m2 (W)</t>
  </si>
  <si>
    <t>n_módulos</t>
  </si>
  <si>
    <t>Para 12 m2 tem-se:</t>
  </si>
  <si>
    <t>6 módulos</t>
  </si>
  <si>
    <t>Orientação Sul</t>
  </si>
  <si>
    <t>Considera-se uma inclinação de 35% (acima da inclinação do telhado, 19%)</t>
  </si>
  <si>
    <t>Inversor 97%</t>
  </si>
  <si>
    <t>Bateria 5 kWh, 95% effic</t>
  </si>
  <si>
    <t xml:space="preserve"> ~2700 W total</t>
  </si>
  <si>
    <t>Considera-se um performance ratio de 75% para se obter ~1500 kWh/kWp/ano (típico de Coimbra): eficiência PV = 22.7*0.75 = ~17% (constante no programa; i.e., média que considera as variações diárias e sazonais)</t>
  </si>
  <si>
    <t>PRT_CN_Coimbra.AP.085480_TMYx.2007-2021</t>
  </si>
  <si>
    <t>https://climate.onebuilding.org/WMO_Region_6_Europe/PRT_Portugal/index.html</t>
  </si>
  <si>
    <t>Nesta versão, reduziu-se significativamente o consumo dos ventiladores dos vizinhos (850 kWh/ano -&gt; 13 kWh/ano), que estavam a funcionar constantemente e agora apenas ciclicamente</t>
  </si>
  <si>
    <t>Jan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</si>
  <si>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</si>
  <si>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</si>
  <si>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</si>
  <si>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</si>
  <si>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</si>
  <si>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</si>
  <si>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</si>
  <si>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</si>
  <si>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</si>
  <si>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</si>
  <si>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</si>
  <si>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</si>
  <si>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Equipment elect. (kWh)</t>
  </si>
  <si>
    <t>Lighting elect. (kWh)</t>
  </si>
  <si>
    <t>Fans elect. (kWh)</t>
  </si>
  <si>
    <t>Pumps elect. (kWh)</t>
  </si>
  <si>
    <t>Heating elect. (kWh)</t>
  </si>
  <si>
    <t>Cooling elect. (kWh)</t>
  </si>
  <si>
    <t>Annual Sum</t>
  </si>
  <si>
    <t>Monthly</t>
  </si>
  <si>
    <t xml:space="preserve"> -&gt; Inclui os ventiladores de AVAC dos 2 apartamentos vizinhos (~13 kWh) (e ainda as bombas de circulação), daí a diferença para o TOTAL ELECTRICITY acima</t>
  </si>
  <si>
    <t>2050 SSP2-4.5</t>
  </si>
  <si>
    <t>2050 SSP3-7.0</t>
  </si>
  <si>
    <t>2080 SSP3-7.0</t>
  </si>
  <si>
    <t>PRESENT DAY</t>
  </si>
  <si>
    <t>Morphed projections of PRT_CN_Coimbra.AP.085480_TMYx.2007-2021, using the Future Weather Generator v. 4.3.0 (ensemble of all CMIP6 models)</t>
  </si>
  <si>
    <t>https://future-weather-generator.adai.pt/</t>
  </si>
  <si>
    <t>Present day</t>
  </si>
  <si>
    <t xml:space="preserve"> -&gt; Inclui os ventiladores de AVAC dos 2 apartamentos vizinhos (~20 kWh) (e ainda as bombas de circulação), daí a diferença para o TOTAL ELECTRICITY acima</t>
  </si>
  <si>
    <t xml:space="preserve"> -&gt; Inclui os ventiladores de AVAC dos 2 apartamentos vizinhos (~21 kWh) (e ainda as bombas de circulação), daí a diferença para o TOTAL ELECTRICITY acima</t>
  </si>
  <si>
    <t xml:space="preserve">  Feb</t>
  </si>
  <si>
    <t xml:space="preserve">  Mar</t>
  </si>
  <si>
    <t xml:space="preserve">  Apr</t>
  </si>
  <si>
    <t xml:space="preserve">  May</t>
  </si>
  <si>
    <t xml:space="preserve">  Jun</t>
  </si>
  <si>
    <t xml:space="preserve">  Jul</t>
  </si>
  <si>
    <t xml:space="preserve">  Aug</t>
  </si>
  <si>
    <t xml:space="preserve">  Sep</t>
  </si>
  <si>
    <t xml:space="preserve">  Oct</t>
  </si>
  <si>
    <t xml:space="preserve">  Nov</t>
  </si>
  <si>
    <t xml:space="preserve">  Dec</t>
  </si>
  <si>
    <t>Ave</t>
  </si>
  <si>
    <t>Max-Min</t>
  </si>
  <si>
    <t>For water temperature correlation:</t>
  </si>
  <si>
    <t>Multisplit</t>
  </si>
  <si>
    <t>DHW elect. (kWh)</t>
  </si>
  <si>
    <t xml:space="preserve"> -&gt; Inclui os ventiladores de AVAC dos 2 apartamentos vizinhos (~29 kWh) (e ainda as bombas de circulação), daí a diferença para o TOTAL ELECTRICITY acima</t>
  </si>
  <si>
    <t>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</si>
</sst>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9" formatCode="0.000"/>
  </numFmts>
  <fonts count="1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name val="Aptos Narrow"/>
      <family val="2"/>
      <scheme val="minor"/>
    </font>
    <font>
      <b/>
      <sz val="1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11"/>
      <name val="Aptos Narrow"/>
      <family val="2"/>
      <scheme val="minor"/>
    </font>
    <font>
      <u/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9"/>
      <color rgb="FFFF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4ED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1">
    <xf numFmtId="0" fontId="0" fillId="0" borderId="0" xfId="0"/>
    <xf numFmtId="0" fontId="3" fillId="0" borderId="0" xfId="1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0" fillId="0" borderId="0" xfId="0" applyAlignment="1">
      <alignment vertical="center" wrapText="1"/>
    </xf>
    <xf numFmtId="0" fontId="6" fillId="0" borderId="0" xfId="0" applyFont="1"/>
    <xf numFmtId="0" fontId="9" fillId="4" borderId="1" xfId="0" applyFont="1" applyFill="1" applyBorder="1"/>
    <xf numFmtId="0" fontId="9" fillId="2" borderId="1" xfId="0" applyFont="1" applyFill="1" applyBorder="1"/>
    <xf numFmtId="164" fontId="8" fillId="3" borderId="1" xfId="0" applyNumberFormat="1" applyFont="1" applyFill="1" applyBorder="1" applyAlignment="1">
      <alignment horizontal="right"/>
    </xf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2" fillId="0" borderId="8" xfId="0" applyFont="1" applyBorder="1"/>
    <xf numFmtId="164" fontId="0" fillId="4" borderId="8" xfId="0" applyNumberFormat="1" applyFill="1" applyBorder="1"/>
    <xf numFmtId="164" fontId="0" fillId="2" borderId="8" xfId="0" applyNumberFormat="1" applyFill="1" applyBorder="1"/>
    <xf numFmtId="164" fontId="0" fillId="6" borderId="8" xfId="0" applyNumberFormat="1" applyFill="1" applyBorder="1"/>
    <xf numFmtId="0" fontId="2" fillId="3" borderId="0" xfId="0" applyFont="1" applyFill="1"/>
    <xf numFmtId="0" fontId="0" fillId="0" borderId="9" xfId="0" applyBorder="1"/>
    <xf numFmtId="0" fontId="0" fillId="0" borderId="10" xfId="0" applyBorder="1"/>
    <xf numFmtId="0" fontId="8" fillId="0" borderId="0" xfId="0" applyFont="1"/>
    <xf numFmtId="2" fontId="6" fillId="5" borderId="1" xfId="0" applyNumberFormat="1" applyFont="1" applyFill="1" applyBorder="1"/>
    <xf numFmtId="2" fontId="6" fillId="6" borderId="1" xfId="0" applyNumberFormat="1" applyFont="1" applyFill="1" applyBorder="1"/>
    <xf numFmtId="0" fontId="6" fillId="6" borderId="1" xfId="0" applyFont="1" applyFill="1" applyBorder="1"/>
    <xf numFmtId="0" fontId="0" fillId="0" borderId="7" xfId="0" applyBorder="1" applyAlignment="1">
      <alignment horizontal="center" vertical="center" textRotation="90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8" xfId="0" applyBorder="1" applyAlignment="1">
      <alignment horizontal="center"/>
    </xf>
    <xf numFmtId="169" fontId="0" fillId="0" borderId="0" xfId="0" applyNumberFormat="1" applyFill="1"/>
    <xf numFmtId="0" fontId="2" fillId="0" borderId="4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/>
    <xf numFmtId="0" fontId="0" fillId="0" borderId="0" xfId="0" applyBorder="1"/>
    <xf numFmtId="0" fontId="0" fillId="0" borderId="11" xfId="0" applyBorder="1"/>
    <xf numFmtId="0" fontId="0" fillId="8" borderId="8" xfId="0" applyFill="1" applyBorder="1"/>
    <xf numFmtId="0" fontId="10" fillId="0" borderId="0" xfId="0" applyFont="1" applyBorder="1" applyAlignment="1">
      <alignment vertical="center" wrapText="1"/>
    </xf>
    <xf numFmtId="0" fontId="2" fillId="7" borderId="0" xfId="0" applyFont="1" applyFill="1" applyBorder="1"/>
    <xf numFmtId="0" fontId="6" fillId="7" borderId="0" xfId="0" applyFont="1" applyFill="1" applyBorder="1"/>
    <xf numFmtId="0" fontId="2" fillId="4" borderId="0" xfId="0" applyFont="1" applyFill="1" applyBorder="1"/>
    <xf numFmtId="0" fontId="0" fillId="4" borderId="0" xfId="0" applyFill="1" applyBorder="1"/>
    <xf numFmtId="164" fontId="0" fillId="4" borderId="0" xfId="0" applyNumberFormat="1" applyFill="1" applyBorder="1"/>
    <xf numFmtId="0" fontId="2" fillId="2" borderId="0" xfId="0" applyFont="1" applyFill="1" applyBorder="1"/>
    <xf numFmtId="0" fontId="0" fillId="2" borderId="0" xfId="0" applyFill="1" applyBorder="1"/>
    <xf numFmtId="164" fontId="0" fillId="2" borderId="0" xfId="0" applyNumberFormat="1" applyFill="1" applyBorder="1"/>
    <xf numFmtId="0" fontId="2" fillId="5" borderId="0" xfId="0" applyFont="1" applyFill="1" applyBorder="1"/>
    <xf numFmtId="0" fontId="0" fillId="5" borderId="0" xfId="0" applyFill="1" applyBorder="1"/>
    <xf numFmtId="0" fontId="2" fillId="6" borderId="0" xfId="0" applyFont="1" applyFill="1" applyBorder="1"/>
    <xf numFmtId="0" fontId="6" fillId="6" borderId="0" xfId="0" applyFont="1" applyFill="1" applyBorder="1"/>
    <xf numFmtId="0" fontId="0" fillId="6" borderId="0" xfId="0" applyFill="1" applyBorder="1"/>
    <xf numFmtId="0" fontId="2" fillId="3" borderId="0" xfId="0" applyFont="1" applyFill="1" applyBorder="1"/>
    <xf numFmtId="0" fontId="0" fillId="3" borderId="0" xfId="0" applyFill="1" applyBorder="1"/>
    <xf numFmtId="0" fontId="5" fillId="3" borderId="0" xfId="0" applyFont="1" applyFill="1" applyBorder="1"/>
    <xf numFmtId="0" fontId="1" fillId="3" borderId="0" xfId="0" applyFont="1" applyFill="1" applyBorder="1" applyAlignment="1">
      <alignment horizontal="left" vertical="top"/>
    </xf>
    <xf numFmtId="0" fontId="2" fillId="8" borderId="0" xfId="0" applyFont="1" applyFill="1" applyBorder="1"/>
    <xf numFmtId="2" fontId="11" fillId="8" borderId="0" xfId="0" applyNumberFormat="1" applyFont="1" applyFill="1" applyBorder="1"/>
    <xf numFmtId="0" fontId="0" fillId="8" borderId="0" xfId="0" applyFill="1" applyBorder="1"/>
    <xf numFmtId="2" fontId="0" fillId="8" borderId="0" xfId="0" applyNumberFormat="1" applyFill="1" applyBorder="1"/>
    <xf numFmtId="0" fontId="2" fillId="0" borderId="0" xfId="0" applyFont="1" applyBorder="1" applyAlignment="1">
      <alignment horizontal="left"/>
    </xf>
    <xf numFmtId="2" fontId="4" fillId="0" borderId="0" xfId="0" applyNumberFormat="1" applyFont="1" applyBorder="1"/>
    <xf numFmtId="0" fontId="4" fillId="0" borderId="0" xfId="0" applyFont="1" applyBorder="1"/>
    <xf numFmtId="2" fontId="4" fillId="0" borderId="0" xfId="0" applyNumberFormat="1" applyFont="1" applyBorder="1" applyAlignment="1">
      <alignment horizontal="right" vertical="center" wrapText="1"/>
    </xf>
    <xf numFmtId="0" fontId="4" fillId="0" borderId="0" xfId="0" applyFont="1" applyBorder="1" applyAlignment="1">
      <alignment horizontal="right" vertical="center" wrapText="1"/>
    </xf>
    <xf numFmtId="0" fontId="12" fillId="9" borderId="0" xfId="0" applyFont="1" applyFill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8" fillId="0" borderId="0" xfId="1" applyFont="1"/>
    <xf numFmtId="0" fontId="10" fillId="0" borderId="0" xfId="0" applyFont="1" applyBorder="1" applyAlignment="1">
      <alignment horizontal="left" vertical="top" wrapText="1"/>
    </xf>
    <xf numFmtId="0" fontId="10" fillId="0" borderId="10" xfId="0" applyFont="1" applyBorder="1" applyAlignment="1">
      <alignment horizontal="left" vertical="top" wrapText="1"/>
    </xf>
    <xf numFmtId="0" fontId="2" fillId="7" borderId="7" xfId="0" applyFont="1" applyFill="1" applyBorder="1"/>
    <xf numFmtId="0" fontId="2" fillId="4" borderId="7" xfId="0" applyFont="1" applyFill="1" applyBorder="1"/>
    <xf numFmtId="0" fontId="2" fillId="2" borderId="7" xfId="0" applyFont="1" applyFill="1" applyBorder="1"/>
    <xf numFmtId="0" fontId="2" fillId="5" borderId="7" xfId="0" applyFont="1" applyFill="1" applyBorder="1"/>
    <xf numFmtId="164" fontId="0" fillId="5" borderId="8" xfId="0" applyNumberFormat="1" applyFill="1" applyBorder="1"/>
    <xf numFmtId="0" fontId="2" fillId="6" borderId="7" xfId="0" applyFont="1" applyFill="1" applyBorder="1"/>
    <xf numFmtId="0" fontId="2" fillId="3" borderId="7" xfId="0" applyFont="1" applyFill="1" applyBorder="1"/>
    <xf numFmtId="164" fontId="0" fillId="3" borderId="8" xfId="0" applyNumberFormat="1" applyFill="1" applyBorder="1"/>
    <xf numFmtId="0" fontId="5" fillId="3" borderId="7" xfId="0" applyFont="1" applyFill="1" applyBorder="1"/>
    <xf numFmtId="164" fontId="0" fillId="3" borderId="8" xfId="0" applyNumberFormat="1" applyFill="1" applyBorder="1" applyAlignment="1">
      <alignment vertical="center"/>
    </xf>
    <xf numFmtId="0" fontId="2" fillId="8" borderId="7" xfId="0" applyFont="1" applyFill="1" applyBorder="1"/>
    <xf numFmtId="0" fontId="2" fillId="0" borderId="7" xfId="0" applyFont="1" applyBorder="1" applyAlignment="1">
      <alignment horizontal="left"/>
    </xf>
    <xf numFmtId="2" fontId="0" fillId="0" borderId="8" xfId="0" applyNumberFormat="1" applyBorder="1"/>
    <xf numFmtId="0" fontId="10" fillId="0" borderId="8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left" vertical="top" wrapText="1"/>
    </xf>
    <xf numFmtId="0" fontId="13" fillId="0" borderId="0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 wrapText="1"/>
    </xf>
    <xf numFmtId="164" fontId="8" fillId="3" borderId="2" xfId="0" applyNumberFormat="1" applyFont="1" applyFill="1" applyBorder="1" applyAlignment="1">
      <alignment horizontal="right"/>
    </xf>
    <xf numFmtId="0" fontId="0" fillId="3" borderId="3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4EDF9"/>
      <color rgb="FFFFFFFF"/>
      <color rgb="FFFFCCFF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533401</xdr:colOff>
      <xdr:row>27</xdr:row>
      <xdr:rowOff>71437</xdr:rowOff>
    </xdr:from>
    <xdr:to>
      <xdr:col>12</xdr:col>
      <xdr:colOff>357187</xdr:colOff>
      <xdr:row>29</xdr:row>
      <xdr:rowOff>157162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F030779-5E54-3629-2CE5-340020FB7C5C}"/>
            </a:ext>
          </a:extLst>
        </xdr:cNvPr>
        <xdr:cNvSpPr txBox="1"/>
      </xdr:nvSpPr>
      <xdr:spPr>
        <a:xfrm>
          <a:off x="10501314" y="4638675"/>
          <a:ext cx="3900486" cy="466725"/>
        </a:xfrm>
        <a:prstGeom prst="rect">
          <a:avLst/>
        </a:prstGeom>
        <a:solidFill>
          <a:schemeClr val="lt1"/>
        </a:solidFill>
        <a:ln w="1587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/>
            <a:t>Atenção</a:t>
          </a:r>
          <a:r>
            <a:rPr lang="en-GB" sz="1100"/>
            <a:t>: não considera a desagregação</a:t>
          </a:r>
          <a:r>
            <a:rPr lang="en-GB" sz="1100" baseline="0"/>
            <a:t> dos consumos dos vizinhos que é feita  nos resultados anuais (bombas e ventiladores)</a:t>
          </a:r>
          <a:endParaRPr lang="en-GB" sz="1100"/>
        </a:p>
      </xdr:txBody>
    </xdr:sp>
    <xdr:clientData/>
  </xdr:twoCellAnchor>
  <xdr:twoCellAnchor>
    <xdr:from>
      <xdr:col>9</xdr:col>
      <xdr:colOff>590550</xdr:colOff>
      <xdr:row>23</xdr:row>
      <xdr:rowOff>47625</xdr:rowOff>
    </xdr:from>
    <xdr:to>
      <xdr:col>9</xdr:col>
      <xdr:colOff>590550</xdr:colOff>
      <xdr:row>27</xdr:row>
      <xdr:rowOff>38962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46C4F0A6-C8BC-918F-77CB-9231E5BA2DF4}"/>
            </a:ext>
          </a:extLst>
        </xdr:cNvPr>
        <xdr:cNvCxnSpPr/>
      </xdr:nvCxnSpPr>
      <xdr:spPr>
        <a:xfrm flipH="1" flipV="1">
          <a:off x="11882438" y="3886200"/>
          <a:ext cx="0" cy="720000"/>
        </a:xfrm>
        <a:prstGeom prst="straightConnector1">
          <a:avLst/>
        </a:prstGeom>
        <a:ln w="22225">
          <a:solidFill>
            <a:srgbClr val="FF0000"/>
          </a:solidFill>
          <a:tailEnd type="triangle" w="med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642937</xdr:colOff>
      <xdr:row>23</xdr:row>
      <xdr:rowOff>61912</xdr:rowOff>
    </xdr:from>
    <xdr:to>
      <xdr:col>10</xdr:col>
      <xdr:colOff>642937</xdr:colOff>
      <xdr:row>27</xdr:row>
      <xdr:rowOff>53249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7DA72ECD-BAB1-287F-AE68-C7E55E0A5AD7}"/>
            </a:ext>
          </a:extLst>
        </xdr:cNvPr>
        <xdr:cNvCxnSpPr/>
      </xdr:nvCxnSpPr>
      <xdr:spPr>
        <a:xfrm flipV="1">
          <a:off x="12611100" y="3900487"/>
          <a:ext cx="0" cy="720000"/>
        </a:xfrm>
        <a:prstGeom prst="straightConnector1">
          <a:avLst/>
        </a:prstGeom>
        <a:ln w="22225">
          <a:solidFill>
            <a:srgbClr val="FF0000"/>
          </a:solidFill>
          <a:tailEnd type="triangle" w="med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533401</xdr:colOff>
      <xdr:row>68</xdr:row>
      <xdr:rowOff>71437</xdr:rowOff>
    </xdr:from>
    <xdr:to>
      <xdr:col>12</xdr:col>
      <xdr:colOff>357187</xdr:colOff>
      <xdr:row>70</xdr:row>
      <xdr:rowOff>157162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C3BCF88-3EAA-4220-A8BD-6826A2278600}"/>
            </a:ext>
          </a:extLst>
        </xdr:cNvPr>
        <xdr:cNvSpPr txBox="1"/>
      </xdr:nvSpPr>
      <xdr:spPr>
        <a:xfrm>
          <a:off x="10501314" y="5000625"/>
          <a:ext cx="3900486" cy="466725"/>
        </a:xfrm>
        <a:prstGeom prst="rect">
          <a:avLst/>
        </a:prstGeom>
        <a:solidFill>
          <a:schemeClr val="lt1"/>
        </a:solidFill>
        <a:ln w="1587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/>
            <a:t>Atenção</a:t>
          </a:r>
          <a:r>
            <a:rPr lang="en-GB" sz="1100"/>
            <a:t>: não considera a desagregação</a:t>
          </a:r>
          <a:r>
            <a:rPr lang="en-GB" sz="1100" baseline="0"/>
            <a:t> dos consumos dos vizinhos que é feita  nos resultados anuais (bombas e ventiladores)</a:t>
          </a:r>
          <a:endParaRPr lang="en-GB" sz="1100"/>
        </a:p>
      </xdr:txBody>
    </xdr:sp>
    <xdr:clientData/>
  </xdr:twoCellAnchor>
  <xdr:twoCellAnchor>
    <xdr:from>
      <xdr:col>9</xdr:col>
      <xdr:colOff>909644</xdr:colOff>
      <xdr:row>64</xdr:row>
      <xdr:rowOff>47625</xdr:rowOff>
    </xdr:from>
    <xdr:to>
      <xdr:col>9</xdr:col>
      <xdr:colOff>909644</xdr:colOff>
      <xdr:row>68</xdr:row>
      <xdr:rowOff>38962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280B11A2-8ED2-4B4D-9BE1-BD7ACF8DA0C2}"/>
            </a:ext>
          </a:extLst>
        </xdr:cNvPr>
        <xdr:cNvCxnSpPr/>
      </xdr:nvCxnSpPr>
      <xdr:spPr>
        <a:xfrm flipH="1" flipV="1">
          <a:off x="11677657" y="11868150"/>
          <a:ext cx="0" cy="720000"/>
        </a:xfrm>
        <a:prstGeom prst="straightConnector1">
          <a:avLst/>
        </a:prstGeom>
        <a:ln w="22225">
          <a:solidFill>
            <a:srgbClr val="FF0000"/>
          </a:solidFill>
          <a:tailEnd type="triangle" w="med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962031</xdr:colOff>
      <xdr:row>64</xdr:row>
      <xdr:rowOff>61912</xdr:rowOff>
    </xdr:from>
    <xdr:to>
      <xdr:col>10</xdr:col>
      <xdr:colOff>962031</xdr:colOff>
      <xdr:row>68</xdr:row>
      <xdr:rowOff>53249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9F89A5AD-590C-4CE8-B146-CFA41AF9B33A}"/>
            </a:ext>
          </a:extLst>
        </xdr:cNvPr>
        <xdr:cNvCxnSpPr/>
      </xdr:nvCxnSpPr>
      <xdr:spPr>
        <a:xfrm flipV="1">
          <a:off x="12768269" y="11882437"/>
          <a:ext cx="0" cy="720000"/>
        </a:xfrm>
        <a:prstGeom prst="straightConnector1">
          <a:avLst/>
        </a:prstGeom>
        <a:ln w="22225">
          <a:solidFill>
            <a:srgbClr val="FF0000"/>
          </a:solidFill>
          <a:tailEnd type="triangle" w="med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533401</xdr:colOff>
      <xdr:row>104</xdr:row>
      <xdr:rowOff>71437</xdr:rowOff>
    </xdr:from>
    <xdr:to>
      <xdr:col>12</xdr:col>
      <xdr:colOff>357187</xdr:colOff>
      <xdr:row>106</xdr:row>
      <xdr:rowOff>157162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270787D-D3F0-4691-BBEF-08993E57E1F2}"/>
            </a:ext>
          </a:extLst>
        </xdr:cNvPr>
        <xdr:cNvSpPr txBox="1"/>
      </xdr:nvSpPr>
      <xdr:spPr>
        <a:xfrm>
          <a:off x="10501314" y="12620625"/>
          <a:ext cx="3900486" cy="466725"/>
        </a:xfrm>
        <a:prstGeom prst="rect">
          <a:avLst/>
        </a:prstGeom>
        <a:solidFill>
          <a:schemeClr val="lt1"/>
        </a:solidFill>
        <a:ln w="1587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/>
            <a:t>Atenção</a:t>
          </a:r>
          <a:r>
            <a:rPr lang="en-GB" sz="1100"/>
            <a:t>: não considera a desagregação</a:t>
          </a:r>
          <a:r>
            <a:rPr lang="en-GB" sz="1100" baseline="0"/>
            <a:t> dos consumos dos vizinhos que é feita  nos resultados anuais (bombas e ventiladores)</a:t>
          </a:r>
          <a:endParaRPr lang="en-GB" sz="1100"/>
        </a:p>
      </xdr:txBody>
    </xdr:sp>
    <xdr:clientData/>
  </xdr:twoCellAnchor>
  <xdr:twoCellAnchor>
    <xdr:from>
      <xdr:col>9</xdr:col>
      <xdr:colOff>938219</xdr:colOff>
      <xdr:row>100</xdr:row>
      <xdr:rowOff>47625</xdr:rowOff>
    </xdr:from>
    <xdr:to>
      <xdr:col>9</xdr:col>
      <xdr:colOff>938219</xdr:colOff>
      <xdr:row>104</xdr:row>
      <xdr:rowOff>38962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4BA8A026-A879-461A-A941-754E0EA95730}"/>
            </a:ext>
          </a:extLst>
        </xdr:cNvPr>
        <xdr:cNvCxnSpPr/>
      </xdr:nvCxnSpPr>
      <xdr:spPr>
        <a:xfrm flipH="1" flipV="1">
          <a:off x="11706232" y="18588038"/>
          <a:ext cx="0" cy="719999"/>
        </a:xfrm>
        <a:prstGeom prst="straightConnector1">
          <a:avLst/>
        </a:prstGeom>
        <a:ln w="22225">
          <a:solidFill>
            <a:srgbClr val="FF0000"/>
          </a:solidFill>
          <a:tailEnd type="triangle" w="med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990606</xdr:colOff>
      <xdr:row>100</xdr:row>
      <xdr:rowOff>61912</xdr:rowOff>
    </xdr:from>
    <xdr:to>
      <xdr:col>10</xdr:col>
      <xdr:colOff>990606</xdr:colOff>
      <xdr:row>104</xdr:row>
      <xdr:rowOff>53249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DFE90390-96A2-468C-9816-F3DF105A147A}"/>
            </a:ext>
          </a:extLst>
        </xdr:cNvPr>
        <xdr:cNvCxnSpPr/>
      </xdr:nvCxnSpPr>
      <xdr:spPr>
        <a:xfrm flipV="1">
          <a:off x="12796844" y="18602325"/>
          <a:ext cx="0" cy="719999"/>
        </a:xfrm>
        <a:prstGeom prst="straightConnector1">
          <a:avLst/>
        </a:prstGeom>
        <a:ln w="22225">
          <a:solidFill>
            <a:srgbClr val="FF0000"/>
          </a:solidFill>
          <a:tailEnd type="triangle" w="med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533401</xdr:colOff>
      <xdr:row>140</xdr:row>
      <xdr:rowOff>71437</xdr:rowOff>
    </xdr:from>
    <xdr:to>
      <xdr:col>12</xdr:col>
      <xdr:colOff>357187</xdr:colOff>
      <xdr:row>142</xdr:row>
      <xdr:rowOff>157162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6BC7053-A18D-47DA-9DFD-8150EA61804C}"/>
            </a:ext>
          </a:extLst>
        </xdr:cNvPr>
        <xdr:cNvSpPr txBox="1"/>
      </xdr:nvSpPr>
      <xdr:spPr>
        <a:xfrm>
          <a:off x="10501314" y="19340512"/>
          <a:ext cx="3900486" cy="466725"/>
        </a:xfrm>
        <a:prstGeom prst="rect">
          <a:avLst/>
        </a:prstGeom>
        <a:solidFill>
          <a:schemeClr val="lt1"/>
        </a:solidFill>
        <a:ln w="1587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/>
            <a:t>Atenção</a:t>
          </a:r>
          <a:r>
            <a:rPr lang="en-GB" sz="1100"/>
            <a:t>: não considera a desagregação</a:t>
          </a:r>
          <a:r>
            <a:rPr lang="en-GB" sz="1100" baseline="0"/>
            <a:t> dos consumos dos vizinhos que é feita  nos resultados anuais (bombas e ventiladores)</a:t>
          </a:r>
          <a:endParaRPr lang="en-GB" sz="1100"/>
        </a:p>
      </xdr:txBody>
    </xdr:sp>
    <xdr:clientData/>
  </xdr:twoCellAnchor>
  <xdr:twoCellAnchor>
    <xdr:from>
      <xdr:col>9</xdr:col>
      <xdr:colOff>823921</xdr:colOff>
      <xdr:row>136</xdr:row>
      <xdr:rowOff>47625</xdr:rowOff>
    </xdr:from>
    <xdr:to>
      <xdr:col>9</xdr:col>
      <xdr:colOff>823921</xdr:colOff>
      <xdr:row>140</xdr:row>
      <xdr:rowOff>38962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71BB679B-98EC-40C7-B5F3-052B1C2CB3CD}"/>
            </a:ext>
          </a:extLst>
        </xdr:cNvPr>
        <xdr:cNvCxnSpPr/>
      </xdr:nvCxnSpPr>
      <xdr:spPr>
        <a:xfrm flipH="1" flipV="1">
          <a:off x="11591934" y="25307925"/>
          <a:ext cx="0" cy="720000"/>
        </a:xfrm>
        <a:prstGeom prst="straightConnector1">
          <a:avLst/>
        </a:prstGeom>
        <a:ln w="22225">
          <a:solidFill>
            <a:srgbClr val="FF0000"/>
          </a:solidFill>
          <a:tailEnd type="triangle" w="med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876308</xdr:colOff>
      <xdr:row>136</xdr:row>
      <xdr:rowOff>61912</xdr:rowOff>
    </xdr:from>
    <xdr:to>
      <xdr:col>10</xdr:col>
      <xdr:colOff>876308</xdr:colOff>
      <xdr:row>140</xdr:row>
      <xdr:rowOff>53249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CF6F3663-4BC5-448A-8100-A296106B58A7}"/>
            </a:ext>
          </a:extLst>
        </xdr:cNvPr>
        <xdr:cNvCxnSpPr/>
      </xdr:nvCxnSpPr>
      <xdr:spPr>
        <a:xfrm flipV="1">
          <a:off x="12682546" y="25322212"/>
          <a:ext cx="0" cy="720000"/>
        </a:xfrm>
        <a:prstGeom prst="straightConnector1">
          <a:avLst/>
        </a:prstGeom>
        <a:ln w="22225">
          <a:solidFill>
            <a:srgbClr val="FF0000"/>
          </a:solidFill>
          <a:tailEnd type="triangle" w="med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533401</xdr:colOff>
      <xdr:row>26</xdr:row>
      <xdr:rowOff>71437</xdr:rowOff>
    </xdr:from>
    <xdr:to>
      <xdr:col>12</xdr:col>
      <xdr:colOff>357187</xdr:colOff>
      <xdr:row>28</xdr:row>
      <xdr:rowOff>157162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B046A65-411C-4752-B25A-9AE6D79E663B}"/>
            </a:ext>
          </a:extLst>
        </xdr:cNvPr>
        <xdr:cNvSpPr txBox="1"/>
      </xdr:nvSpPr>
      <xdr:spPr>
        <a:xfrm>
          <a:off x="9910764" y="5000625"/>
          <a:ext cx="4629148" cy="466725"/>
        </a:xfrm>
        <a:prstGeom prst="rect">
          <a:avLst/>
        </a:prstGeom>
        <a:solidFill>
          <a:schemeClr val="lt1"/>
        </a:solidFill>
        <a:ln w="1587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/>
            <a:t>Atenção</a:t>
          </a:r>
          <a:r>
            <a:rPr lang="en-GB" sz="1100"/>
            <a:t>: não considera a desagregação</a:t>
          </a:r>
          <a:r>
            <a:rPr lang="en-GB" sz="1100" baseline="0"/>
            <a:t> dos consumos dos vizinhos que é feita  nos resultados anuais (bombas e ventiladores)</a:t>
          </a:r>
          <a:endParaRPr lang="en-GB" sz="1100"/>
        </a:p>
      </xdr:txBody>
    </xdr:sp>
    <xdr:clientData/>
  </xdr:twoCellAnchor>
  <xdr:twoCellAnchor>
    <xdr:from>
      <xdr:col>9</xdr:col>
      <xdr:colOff>590550</xdr:colOff>
      <xdr:row>23</xdr:row>
      <xdr:rowOff>47625</xdr:rowOff>
    </xdr:from>
    <xdr:to>
      <xdr:col>9</xdr:col>
      <xdr:colOff>590550</xdr:colOff>
      <xdr:row>26</xdr:row>
      <xdr:rowOff>38962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F79E9D69-F9AC-4403-A3A2-C925B4767D20}"/>
            </a:ext>
          </a:extLst>
        </xdr:cNvPr>
        <xdr:cNvCxnSpPr/>
      </xdr:nvCxnSpPr>
      <xdr:spPr>
        <a:xfrm flipH="1" flipV="1">
          <a:off x="11358563" y="4248150"/>
          <a:ext cx="0" cy="720000"/>
        </a:xfrm>
        <a:prstGeom prst="straightConnector1">
          <a:avLst/>
        </a:prstGeom>
        <a:ln w="22225">
          <a:solidFill>
            <a:srgbClr val="FF0000"/>
          </a:solidFill>
          <a:tailEnd type="triangle" w="med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642937</xdr:colOff>
      <xdr:row>23</xdr:row>
      <xdr:rowOff>61912</xdr:rowOff>
    </xdr:from>
    <xdr:to>
      <xdr:col>10</xdr:col>
      <xdr:colOff>642937</xdr:colOff>
      <xdr:row>26</xdr:row>
      <xdr:rowOff>53249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FF768F2D-6FB6-48AA-91D8-6DD0BA0A1628}"/>
            </a:ext>
          </a:extLst>
        </xdr:cNvPr>
        <xdr:cNvCxnSpPr/>
      </xdr:nvCxnSpPr>
      <xdr:spPr>
        <a:xfrm flipV="1">
          <a:off x="12449175" y="4262437"/>
          <a:ext cx="0" cy="720000"/>
        </a:xfrm>
        <a:prstGeom prst="straightConnector1">
          <a:avLst/>
        </a:prstGeom>
        <a:ln w="22225">
          <a:solidFill>
            <a:srgbClr val="FF0000"/>
          </a:solidFill>
          <a:tailEnd type="triangle" w="med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533401</xdr:colOff>
      <xdr:row>66</xdr:row>
      <xdr:rowOff>71437</xdr:rowOff>
    </xdr:from>
    <xdr:to>
      <xdr:col>12</xdr:col>
      <xdr:colOff>357187</xdr:colOff>
      <xdr:row>68</xdr:row>
      <xdr:rowOff>157162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17ED3E0-6FD4-49C9-A368-055AABB1661A}"/>
            </a:ext>
          </a:extLst>
        </xdr:cNvPr>
        <xdr:cNvSpPr txBox="1"/>
      </xdr:nvSpPr>
      <xdr:spPr>
        <a:xfrm>
          <a:off x="9910764" y="12620625"/>
          <a:ext cx="4629148" cy="466725"/>
        </a:xfrm>
        <a:prstGeom prst="rect">
          <a:avLst/>
        </a:prstGeom>
        <a:solidFill>
          <a:schemeClr val="lt1"/>
        </a:solidFill>
        <a:ln w="1587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/>
            <a:t>Atenção</a:t>
          </a:r>
          <a:r>
            <a:rPr lang="en-GB" sz="1100"/>
            <a:t>: não considera a desagregação</a:t>
          </a:r>
          <a:r>
            <a:rPr lang="en-GB" sz="1100" baseline="0"/>
            <a:t> dos consumos dos vizinhos que é feita  nos resultados anuais (bombas e ventiladores)</a:t>
          </a:r>
          <a:endParaRPr lang="en-GB" sz="1100"/>
        </a:p>
      </xdr:txBody>
    </xdr:sp>
    <xdr:clientData/>
  </xdr:twoCellAnchor>
  <xdr:twoCellAnchor>
    <xdr:from>
      <xdr:col>9</xdr:col>
      <xdr:colOff>909644</xdr:colOff>
      <xdr:row>63</xdr:row>
      <xdr:rowOff>47625</xdr:rowOff>
    </xdr:from>
    <xdr:to>
      <xdr:col>9</xdr:col>
      <xdr:colOff>909644</xdr:colOff>
      <xdr:row>66</xdr:row>
      <xdr:rowOff>38962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BE572112-C3A7-4773-9712-2ECCE161DED4}"/>
            </a:ext>
          </a:extLst>
        </xdr:cNvPr>
        <xdr:cNvCxnSpPr/>
      </xdr:nvCxnSpPr>
      <xdr:spPr>
        <a:xfrm flipH="1" flipV="1">
          <a:off x="11677657" y="11868150"/>
          <a:ext cx="0" cy="720000"/>
        </a:xfrm>
        <a:prstGeom prst="straightConnector1">
          <a:avLst/>
        </a:prstGeom>
        <a:ln w="22225">
          <a:solidFill>
            <a:srgbClr val="FF0000"/>
          </a:solidFill>
          <a:tailEnd type="triangle" w="med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962031</xdr:colOff>
      <xdr:row>63</xdr:row>
      <xdr:rowOff>61912</xdr:rowOff>
    </xdr:from>
    <xdr:to>
      <xdr:col>10</xdr:col>
      <xdr:colOff>962031</xdr:colOff>
      <xdr:row>66</xdr:row>
      <xdr:rowOff>53249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69052BFA-3811-4E44-A74D-DDCF15ED9C7C}"/>
            </a:ext>
          </a:extLst>
        </xdr:cNvPr>
        <xdr:cNvCxnSpPr/>
      </xdr:nvCxnSpPr>
      <xdr:spPr>
        <a:xfrm flipV="1">
          <a:off x="12768269" y="11882437"/>
          <a:ext cx="0" cy="720000"/>
        </a:xfrm>
        <a:prstGeom prst="straightConnector1">
          <a:avLst/>
        </a:prstGeom>
        <a:ln w="22225">
          <a:solidFill>
            <a:srgbClr val="FF0000"/>
          </a:solidFill>
          <a:tailEnd type="triangle" w="med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533401</xdr:colOff>
      <xdr:row>101</xdr:row>
      <xdr:rowOff>71437</xdr:rowOff>
    </xdr:from>
    <xdr:to>
      <xdr:col>12</xdr:col>
      <xdr:colOff>357187</xdr:colOff>
      <xdr:row>103</xdr:row>
      <xdr:rowOff>157162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CFCA01D-FC69-42F6-93B9-A45BB91D7F90}"/>
            </a:ext>
          </a:extLst>
        </xdr:cNvPr>
        <xdr:cNvSpPr txBox="1"/>
      </xdr:nvSpPr>
      <xdr:spPr>
        <a:xfrm>
          <a:off x="9910764" y="19340512"/>
          <a:ext cx="4629148" cy="466725"/>
        </a:xfrm>
        <a:prstGeom prst="rect">
          <a:avLst/>
        </a:prstGeom>
        <a:solidFill>
          <a:schemeClr val="lt1"/>
        </a:solidFill>
        <a:ln w="1587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/>
            <a:t>Atenção</a:t>
          </a:r>
          <a:r>
            <a:rPr lang="en-GB" sz="1100"/>
            <a:t>: não considera a desagregação</a:t>
          </a:r>
          <a:r>
            <a:rPr lang="en-GB" sz="1100" baseline="0"/>
            <a:t> dos consumos dos vizinhos que é feita  nos resultados anuais (bombas e ventiladores)</a:t>
          </a:r>
          <a:endParaRPr lang="en-GB" sz="1100"/>
        </a:p>
      </xdr:txBody>
    </xdr:sp>
    <xdr:clientData/>
  </xdr:twoCellAnchor>
  <xdr:twoCellAnchor>
    <xdr:from>
      <xdr:col>9</xdr:col>
      <xdr:colOff>938219</xdr:colOff>
      <xdr:row>98</xdr:row>
      <xdr:rowOff>47625</xdr:rowOff>
    </xdr:from>
    <xdr:to>
      <xdr:col>9</xdr:col>
      <xdr:colOff>938219</xdr:colOff>
      <xdr:row>101</xdr:row>
      <xdr:rowOff>38962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EE244AEB-D538-4ED6-8704-070F64F3EF8F}"/>
            </a:ext>
          </a:extLst>
        </xdr:cNvPr>
        <xdr:cNvCxnSpPr/>
      </xdr:nvCxnSpPr>
      <xdr:spPr>
        <a:xfrm flipH="1" flipV="1">
          <a:off x="11706232" y="18588038"/>
          <a:ext cx="0" cy="719999"/>
        </a:xfrm>
        <a:prstGeom prst="straightConnector1">
          <a:avLst/>
        </a:prstGeom>
        <a:ln w="22225">
          <a:solidFill>
            <a:srgbClr val="FF0000"/>
          </a:solidFill>
          <a:tailEnd type="triangle" w="med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990606</xdr:colOff>
      <xdr:row>98</xdr:row>
      <xdr:rowOff>61912</xdr:rowOff>
    </xdr:from>
    <xdr:to>
      <xdr:col>10</xdr:col>
      <xdr:colOff>990606</xdr:colOff>
      <xdr:row>101</xdr:row>
      <xdr:rowOff>53249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3EEDE181-725F-4EF1-BD9A-13DFF3A4D871}"/>
            </a:ext>
          </a:extLst>
        </xdr:cNvPr>
        <xdr:cNvCxnSpPr/>
      </xdr:nvCxnSpPr>
      <xdr:spPr>
        <a:xfrm flipV="1">
          <a:off x="12796844" y="18602325"/>
          <a:ext cx="0" cy="719999"/>
        </a:xfrm>
        <a:prstGeom prst="straightConnector1">
          <a:avLst/>
        </a:prstGeom>
        <a:ln w="22225">
          <a:solidFill>
            <a:srgbClr val="FF0000"/>
          </a:solidFill>
          <a:tailEnd type="triangle" w="med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533401</xdr:colOff>
      <xdr:row>136</xdr:row>
      <xdr:rowOff>71437</xdr:rowOff>
    </xdr:from>
    <xdr:to>
      <xdr:col>12</xdr:col>
      <xdr:colOff>357187</xdr:colOff>
      <xdr:row>138</xdr:row>
      <xdr:rowOff>157162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84DBF1B-60CB-4A3D-8E79-17FD96B1A1DC}"/>
            </a:ext>
          </a:extLst>
        </xdr:cNvPr>
        <xdr:cNvSpPr txBox="1"/>
      </xdr:nvSpPr>
      <xdr:spPr>
        <a:xfrm>
          <a:off x="9910764" y="26060400"/>
          <a:ext cx="4629148" cy="466725"/>
        </a:xfrm>
        <a:prstGeom prst="rect">
          <a:avLst/>
        </a:prstGeom>
        <a:solidFill>
          <a:schemeClr val="lt1"/>
        </a:solidFill>
        <a:ln w="1587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/>
            <a:t>Atenção</a:t>
          </a:r>
          <a:r>
            <a:rPr lang="en-GB" sz="1100"/>
            <a:t>: não considera a desagregação</a:t>
          </a:r>
          <a:r>
            <a:rPr lang="en-GB" sz="1100" baseline="0"/>
            <a:t> dos consumos dos vizinhos que é feita  nos resultados anuais (bombas e ventiladores)</a:t>
          </a:r>
          <a:endParaRPr lang="en-GB" sz="1100"/>
        </a:p>
      </xdr:txBody>
    </xdr:sp>
    <xdr:clientData/>
  </xdr:twoCellAnchor>
  <xdr:twoCellAnchor>
    <xdr:from>
      <xdr:col>9</xdr:col>
      <xdr:colOff>823921</xdr:colOff>
      <xdr:row>133</xdr:row>
      <xdr:rowOff>47625</xdr:rowOff>
    </xdr:from>
    <xdr:to>
      <xdr:col>9</xdr:col>
      <xdr:colOff>823921</xdr:colOff>
      <xdr:row>136</xdr:row>
      <xdr:rowOff>38962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62A84F2-7DE1-45C5-93BC-85A6001AC3AB}"/>
            </a:ext>
          </a:extLst>
        </xdr:cNvPr>
        <xdr:cNvCxnSpPr/>
      </xdr:nvCxnSpPr>
      <xdr:spPr>
        <a:xfrm flipH="1" flipV="1">
          <a:off x="11591934" y="25307925"/>
          <a:ext cx="0" cy="720000"/>
        </a:xfrm>
        <a:prstGeom prst="straightConnector1">
          <a:avLst/>
        </a:prstGeom>
        <a:ln w="22225">
          <a:solidFill>
            <a:srgbClr val="FF0000"/>
          </a:solidFill>
          <a:tailEnd type="triangle" w="med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876308</xdr:colOff>
      <xdr:row>133</xdr:row>
      <xdr:rowOff>61912</xdr:rowOff>
    </xdr:from>
    <xdr:to>
      <xdr:col>10</xdr:col>
      <xdr:colOff>876308</xdr:colOff>
      <xdr:row>136</xdr:row>
      <xdr:rowOff>53249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25E0001A-FEB3-4385-88F0-44B3346127E5}"/>
            </a:ext>
          </a:extLst>
        </xdr:cNvPr>
        <xdr:cNvCxnSpPr/>
      </xdr:nvCxnSpPr>
      <xdr:spPr>
        <a:xfrm flipV="1">
          <a:off x="12682546" y="25322212"/>
          <a:ext cx="0" cy="720000"/>
        </a:xfrm>
        <a:prstGeom prst="straightConnector1">
          <a:avLst/>
        </a:prstGeom>
        <a:ln w="22225">
          <a:solidFill>
            <a:srgbClr val="FF0000"/>
          </a:solidFill>
          <a:tailEnd type="triangle" w="med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533401</xdr:colOff>
      <xdr:row>26</xdr:row>
      <xdr:rowOff>71437</xdr:rowOff>
    </xdr:from>
    <xdr:to>
      <xdr:col>12</xdr:col>
      <xdr:colOff>357187</xdr:colOff>
      <xdr:row>28</xdr:row>
      <xdr:rowOff>157162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9C825B-3E3D-42FC-8E2A-E08B1748FAC5}"/>
            </a:ext>
          </a:extLst>
        </xdr:cNvPr>
        <xdr:cNvSpPr txBox="1"/>
      </xdr:nvSpPr>
      <xdr:spPr>
        <a:xfrm>
          <a:off x="9910764" y="4824412"/>
          <a:ext cx="4629148" cy="466725"/>
        </a:xfrm>
        <a:prstGeom prst="rect">
          <a:avLst/>
        </a:prstGeom>
        <a:solidFill>
          <a:schemeClr val="lt1"/>
        </a:solidFill>
        <a:ln w="1587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/>
            <a:t>Atenção</a:t>
          </a:r>
          <a:r>
            <a:rPr lang="en-GB" sz="1100"/>
            <a:t>: não considera a desagregação</a:t>
          </a:r>
          <a:r>
            <a:rPr lang="en-GB" sz="1100" baseline="0"/>
            <a:t> dos consumos dos vizinhos que é feita  nos resultados anuais (bombas e ventiladores)</a:t>
          </a:r>
          <a:endParaRPr lang="en-GB" sz="1100"/>
        </a:p>
      </xdr:txBody>
    </xdr:sp>
    <xdr:clientData/>
  </xdr:twoCellAnchor>
  <xdr:twoCellAnchor>
    <xdr:from>
      <xdr:col>9</xdr:col>
      <xdr:colOff>590550</xdr:colOff>
      <xdr:row>23</xdr:row>
      <xdr:rowOff>47625</xdr:rowOff>
    </xdr:from>
    <xdr:to>
      <xdr:col>9</xdr:col>
      <xdr:colOff>590550</xdr:colOff>
      <xdr:row>26</xdr:row>
      <xdr:rowOff>38962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1A9B6AF-7EEB-44CA-9605-31C7D6A014E3}"/>
            </a:ext>
          </a:extLst>
        </xdr:cNvPr>
        <xdr:cNvCxnSpPr/>
      </xdr:nvCxnSpPr>
      <xdr:spPr>
        <a:xfrm flipH="1" flipV="1">
          <a:off x="11358563" y="4252913"/>
          <a:ext cx="0" cy="539024"/>
        </a:xfrm>
        <a:prstGeom prst="straightConnector1">
          <a:avLst/>
        </a:prstGeom>
        <a:ln w="22225">
          <a:solidFill>
            <a:srgbClr val="FF0000"/>
          </a:solidFill>
          <a:tailEnd type="triangle" w="med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642937</xdr:colOff>
      <xdr:row>23</xdr:row>
      <xdr:rowOff>61912</xdr:rowOff>
    </xdr:from>
    <xdr:to>
      <xdr:col>10</xdr:col>
      <xdr:colOff>642937</xdr:colOff>
      <xdr:row>26</xdr:row>
      <xdr:rowOff>53249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66AC32A-5CD3-441D-AB54-ED0B838E71F5}"/>
            </a:ext>
          </a:extLst>
        </xdr:cNvPr>
        <xdr:cNvCxnSpPr/>
      </xdr:nvCxnSpPr>
      <xdr:spPr>
        <a:xfrm flipV="1">
          <a:off x="12449175" y="4267200"/>
          <a:ext cx="0" cy="539024"/>
        </a:xfrm>
        <a:prstGeom prst="straightConnector1">
          <a:avLst/>
        </a:prstGeom>
        <a:ln w="22225">
          <a:solidFill>
            <a:srgbClr val="FF0000"/>
          </a:solidFill>
          <a:tailEnd type="triangle" w="med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533401</xdr:colOff>
      <xdr:row>66</xdr:row>
      <xdr:rowOff>71437</xdr:rowOff>
    </xdr:from>
    <xdr:to>
      <xdr:col>12</xdr:col>
      <xdr:colOff>357187</xdr:colOff>
      <xdr:row>68</xdr:row>
      <xdr:rowOff>157162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DC37D8F-8A43-4781-BE21-F4BADF10AAA6}"/>
            </a:ext>
          </a:extLst>
        </xdr:cNvPr>
        <xdr:cNvSpPr txBox="1"/>
      </xdr:nvSpPr>
      <xdr:spPr>
        <a:xfrm>
          <a:off x="9910764" y="12268200"/>
          <a:ext cx="4629148" cy="466725"/>
        </a:xfrm>
        <a:prstGeom prst="rect">
          <a:avLst/>
        </a:prstGeom>
        <a:solidFill>
          <a:schemeClr val="lt1"/>
        </a:solidFill>
        <a:ln w="1587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/>
            <a:t>Atenção</a:t>
          </a:r>
          <a:r>
            <a:rPr lang="en-GB" sz="1100"/>
            <a:t>: não considera a desagregação</a:t>
          </a:r>
          <a:r>
            <a:rPr lang="en-GB" sz="1100" baseline="0"/>
            <a:t> dos consumos dos vizinhos que é feita  nos resultados anuais (bombas e ventiladores)</a:t>
          </a:r>
          <a:endParaRPr lang="en-GB" sz="1100"/>
        </a:p>
      </xdr:txBody>
    </xdr:sp>
    <xdr:clientData/>
  </xdr:twoCellAnchor>
  <xdr:twoCellAnchor>
    <xdr:from>
      <xdr:col>9</xdr:col>
      <xdr:colOff>909644</xdr:colOff>
      <xdr:row>63</xdr:row>
      <xdr:rowOff>47625</xdr:rowOff>
    </xdr:from>
    <xdr:to>
      <xdr:col>9</xdr:col>
      <xdr:colOff>909644</xdr:colOff>
      <xdr:row>66</xdr:row>
      <xdr:rowOff>38962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C2DACEEB-A26A-410E-AD1C-010D387BF593}"/>
            </a:ext>
          </a:extLst>
        </xdr:cNvPr>
        <xdr:cNvCxnSpPr/>
      </xdr:nvCxnSpPr>
      <xdr:spPr>
        <a:xfrm flipH="1" flipV="1">
          <a:off x="11677657" y="11696700"/>
          <a:ext cx="0" cy="539025"/>
        </a:xfrm>
        <a:prstGeom prst="straightConnector1">
          <a:avLst/>
        </a:prstGeom>
        <a:ln w="22225">
          <a:solidFill>
            <a:srgbClr val="FF0000"/>
          </a:solidFill>
          <a:tailEnd type="triangle" w="med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962031</xdr:colOff>
      <xdr:row>63</xdr:row>
      <xdr:rowOff>61912</xdr:rowOff>
    </xdr:from>
    <xdr:to>
      <xdr:col>10</xdr:col>
      <xdr:colOff>962031</xdr:colOff>
      <xdr:row>66</xdr:row>
      <xdr:rowOff>53249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9F1EA151-AF3E-4702-8EC3-C4B9151FA999}"/>
            </a:ext>
          </a:extLst>
        </xdr:cNvPr>
        <xdr:cNvCxnSpPr/>
      </xdr:nvCxnSpPr>
      <xdr:spPr>
        <a:xfrm flipV="1">
          <a:off x="12768269" y="11710987"/>
          <a:ext cx="0" cy="539025"/>
        </a:xfrm>
        <a:prstGeom prst="straightConnector1">
          <a:avLst/>
        </a:prstGeom>
        <a:ln w="22225">
          <a:solidFill>
            <a:srgbClr val="FF0000"/>
          </a:solidFill>
          <a:tailEnd type="triangle" w="med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533401</xdr:colOff>
      <xdr:row>101</xdr:row>
      <xdr:rowOff>71437</xdr:rowOff>
    </xdr:from>
    <xdr:to>
      <xdr:col>12</xdr:col>
      <xdr:colOff>357187</xdr:colOff>
      <xdr:row>103</xdr:row>
      <xdr:rowOff>157162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0C71F65-B20C-447F-8994-9F4EB282C5B5}"/>
            </a:ext>
          </a:extLst>
        </xdr:cNvPr>
        <xdr:cNvSpPr txBox="1"/>
      </xdr:nvSpPr>
      <xdr:spPr>
        <a:xfrm>
          <a:off x="9910764" y="18811875"/>
          <a:ext cx="4629148" cy="466725"/>
        </a:xfrm>
        <a:prstGeom prst="rect">
          <a:avLst/>
        </a:prstGeom>
        <a:solidFill>
          <a:schemeClr val="lt1"/>
        </a:solidFill>
        <a:ln w="1587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/>
            <a:t>Atenção</a:t>
          </a:r>
          <a:r>
            <a:rPr lang="en-GB" sz="1100"/>
            <a:t>: não considera a desagregação</a:t>
          </a:r>
          <a:r>
            <a:rPr lang="en-GB" sz="1100" baseline="0"/>
            <a:t> dos consumos dos vizinhos que é feita  nos resultados anuais (bombas e ventiladores)</a:t>
          </a:r>
          <a:endParaRPr lang="en-GB" sz="1100"/>
        </a:p>
      </xdr:txBody>
    </xdr:sp>
    <xdr:clientData/>
  </xdr:twoCellAnchor>
  <xdr:twoCellAnchor>
    <xdr:from>
      <xdr:col>9</xdr:col>
      <xdr:colOff>938219</xdr:colOff>
      <xdr:row>98</xdr:row>
      <xdr:rowOff>47625</xdr:rowOff>
    </xdr:from>
    <xdr:to>
      <xdr:col>9</xdr:col>
      <xdr:colOff>938219</xdr:colOff>
      <xdr:row>101</xdr:row>
      <xdr:rowOff>38962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AC1BC404-14D9-403D-B9AD-420EAA019438}"/>
            </a:ext>
          </a:extLst>
        </xdr:cNvPr>
        <xdr:cNvCxnSpPr/>
      </xdr:nvCxnSpPr>
      <xdr:spPr>
        <a:xfrm flipH="1" flipV="1">
          <a:off x="11706232" y="18240375"/>
          <a:ext cx="0" cy="539025"/>
        </a:xfrm>
        <a:prstGeom prst="straightConnector1">
          <a:avLst/>
        </a:prstGeom>
        <a:ln w="22225">
          <a:solidFill>
            <a:srgbClr val="FF0000"/>
          </a:solidFill>
          <a:tailEnd type="triangle" w="med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990606</xdr:colOff>
      <xdr:row>98</xdr:row>
      <xdr:rowOff>61912</xdr:rowOff>
    </xdr:from>
    <xdr:to>
      <xdr:col>10</xdr:col>
      <xdr:colOff>990606</xdr:colOff>
      <xdr:row>101</xdr:row>
      <xdr:rowOff>53249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88269A36-3601-4A06-B7F2-1E930C3C9EE2}"/>
            </a:ext>
          </a:extLst>
        </xdr:cNvPr>
        <xdr:cNvCxnSpPr/>
      </xdr:nvCxnSpPr>
      <xdr:spPr>
        <a:xfrm flipV="1">
          <a:off x="12796844" y="18254662"/>
          <a:ext cx="0" cy="539025"/>
        </a:xfrm>
        <a:prstGeom prst="straightConnector1">
          <a:avLst/>
        </a:prstGeom>
        <a:ln w="22225">
          <a:solidFill>
            <a:srgbClr val="FF0000"/>
          </a:solidFill>
          <a:tailEnd type="triangle" w="med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533401</xdr:colOff>
      <xdr:row>136</xdr:row>
      <xdr:rowOff>71437</xdr:rowOff>
    </xdr:from>
    <xdr:to>
      <xdr:col>12</xdr:col>
      <xdr:colOff>357187</xdr:colOff>
      <xdr:row>138</xdr:row>
      <xdr:rowOff>157162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E9EC005-2481-48E0-B5C0-B9ACF3576D09}"/>
            </a:ext>
          </a:extLst>
        </xdr:cNvPr>
        <xdr:cNvSpPr txBox="1"/>
      </xdr:nvSpPr>
      <xdr:spPr>
        <a:xfrm>
          <a:off x="9910764" y="25355550"/>
          <a:ext cx="4629148" cy="466725"/>
        </a:xfrm>
        <a:prstGeom prst="rect">
          <a:avLst/>
        </a:prstGeom>
        <a:solidFill>
          <a:schemeClr val="lt1"/>
        </a:solidFill>
        <a:ln w="1587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/>
            <a:t>Atenção</a:t>
          </a:r>
          <a:r>
            <a:rPr lang="en-GB" sz="1100"/>
            <a:t>: não considera a desagregação</a:t>
          </a:r>
          <a:r>
            <a:rPr lang="en-GB" sz="1100" baseline="0"/>
            <a:t> dos consumos dos vizinhos que é feita  nos resultados anuais (bombas e ventiladores)</a:t>
          </a:r>
          <a:endParaRPr lang="en-GB" sz="1100"/>
        </a:p>
      </xdr:txBody>
    </xdr:sp>
    <xdr:clientData/>
  </xdr:twoCellAnchor>
  <xdr:twoCellAnchor>
    <xdr:from>
      <xdr:col>9</xdr:col>
      <xdr:colOff>823921</xdr:colOff>
      <xdr:row>133</xdr:row>
      <xdr:rowOff>47625</xdr:rowOff>
    </xdr:from>
    <xdr:to>
      <xdr:col>9</xdr:col>
      <xdr:colOff>823921</xdr:colOff>
      <xdr:row>136</xdr:row>
      <xdr:rowOff>38962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697752FA-918C-43DA-918A-200EE51149C2}"/>
            </a:ext>
          </a:extLst>
        </xdr:cNvPr>
        <xdr:cNvCxnSpPr/>
      </xdr:nvCxnSpPr>
      <xdr:spPr>
        <a:xfrm flipH="1" flipV="1">
          <a:off x="11591934" y="24784050"/>
          <a:ext cx="0" cy="539025"/>
        </a:xfrm>
        <a:prstGeom prst="straightConnector1">
          <a:avLst/>
        </a:prstGeom>
        <a:ln w="22225">
          <a:solidFill>
            <a:srgbClr val="FF0000"/>
          </a:solidFill>
          <a:tailEnd type="triangle" w="med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876308</xdr:colOff>
      <xdr:row>133</xdr:row>
      <xdr:rowOff>61912</xdr:rowOff>
    </xdr:from>
    <xdr:to>
      <xdr:col>10</xdr:col>
      <xdr:colOff>876308</xdr:colOff>
      <xdr:row>136</xdr:row>
      <xdr:rowOff>53249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B1AADD10-43E7-4E57-9489-BD18D8E99220}"/>
            </a:ext>
          </a:extLst>
        </xdr:cNvPr>
        <xdr:cNvCxnSpPr/>
      </xdr:nvCxnSpPr>
      <xdr:spPr>
        <a:xfrm flipV="1">
          <a:off x="12682546" y="24798337"/>
          <a:ext cx="0" cy="539025"/>
        </a:xfrm>
        <a:prstGeom prst="straightConnector1">
          <a:avLst/>
        </a:prstGeom>
        <a:ln w="22225">
          <a:solidFill>
            <a:srgbClr val="FF0000"/>
          </a:solidFill>
          <a:tailEnd type="triangle" w="med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mitsubishielectric.pt/documents/20124/50804/MXZ-VF.pdf" TargetMode="External"/><Relationship Id="rId2" Type="http://schemas.openxmlformats.org/officeDocument/2006/relationships/hyperlink" Target="https://www.daikin.pt/pt_pt/products/product.table.html/ekhhe-cv37.html" TargetMode="External"/><Relationship Id="rId1" Type="http://schemas.openxmlformats.org/officeDocument/2006/relationships/hyperlink" Target="https://www.daikin.eu/en_us/products/product.html/EKHHEU-CV37.html" TargetMode="External"/><Relationship Id="rId4" Type="http://schemas.openxmlformats.org/officeDocument/2006/relationships/hyperlink" Target="https://mitsubishielectric.pt/documents/20124/50804/MXZ-VF.pdf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daikin.pt/pt_pt/products/product.html/FWT-HT.html" TargetMode="External"/><Relationship Id="rId1" Type="http://schemas.openxmlformats.org/officeDocument/2006/relationships/hyperlink" Target="https://daitherma.pt/ficha-produto/bombas-de-calor/Daikin-Altherma-3-R-F.pdf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olarshop.pt/pt/dmegc-dmegc-450w---dm450g12rt-painel-solar-unidade" TargetMode="External"/><Relationship Id="rId1" Type="http://schemas.openxmlformats.org/officeDocument/2006/relationships/hyperlink" Target="https://www.solarshop.pt/pt/hyundai-hyundai-455w-hit-h455le-fb-painel-solar-unidade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future-weather-generator.adai.pt/" TargetMode="External"/><Relationship Id="rId2" Type="http://schemas.openxmlformats.org/officeDocument/2006/relationships/hyperlink" Target="https://future-weather-generator.adai.pt/" TargetMode="External"/><Relationship Id="rId1" Type="http://schemas.openxmlformats.org/officeDocument/2006/relationships/hyperlink" Target="https://climate.onebuilding.org/WMO_Region_6_Europe/PRT_Portugal/index.html" TargetMode="External"/><Relationship Id="rId4" Type="http://schemas.openxmlformats.org/officeDocument/2006/relationships/hyperlink" Target="https://future-weather-generator.adai.pt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DD993-2455-4CAF-B4CC-8E9690ED879A}">
  <dimension ref="A1:A18"/>
  <sheetViews>
    <sheetView tabSelected="1" workbookViewId="0"/>
  </sheetViews>
  <sheetFormatPr defaultRowHeight="14.25" x14ac:dyDescent="0.45"/>
  <sheetData>
    <row r="1" spans="1:1" x14ac:dyDescent="0.45">
      <c r="A1" s="3" t="s">
        <v>69</v>
      </c>
    </row>
    <row r="2" spans="1:1" x14ac:dyDescent="0.45">
      <c r="A2" s="2" t="s">
        <v>68</v>
      </c>
    </row>
    <row r="3" spans="1:1" x14ac:dyDescent="0.45">
      <c r="A3" t="s">
        <v>70</v>
      </c>
    </row>
    <row r="5" spans="1:1" x14ac:dyDescent="0.45">
      <c r="A5" s="3" t="s">
        <v>71</v>
      </c>
    </row>
    <row r="6" spans="1:1" x14ac:dyDescent="0.45">
      <c r="A6" s="2" t="s">
        <v>68</v>
      </c>
    </row>
    <row r="7" spans="1:1" x14ac:dyDescent="0.45">
      <c r="A7" t="s">
        <v>72</v>
      </c>
    </row>
    <row r="9" spans="1:1" x14ac:dyDescent="0.45">
      <c r="A9" s="3" t="s">
        <v>73</v>
      </c>
    </row>
    <row r="10" spans="1:1" x14ac:dyDescent="0.45">
      <c r="A10" s="2" t="s">
        <v>68</v>
      </c>
    </row>
    <row r="11" spans="1:1" x14ac:dyDescent="0.45">
      <c r="A11" t="s">
        <v>74</v>
      </c>
    </row>
    <row r="14" spans="1:1" x14ac:dyDescent="0.45">
      <c r="A14" s="3" t="s">
        <v>90</v>
      </c>
    </row>
    <row r="15" spans="1:1" x14ac:dyDescent="0.45">
      <c r="A15" s="20" t="s">
        <v>91</v>
      </c>
    </row>
    <row r="16" spans="1:1" x14ac:dyDescent="0.45">
      <c r="A16" s="20" t="s">
        <v>92</v>
      </c>
    </row>
    <row r="17" spans="1:1" x14ac:dyDescent="0.45">
      <c r="A17" t="s">
        <v>93</v>
      </c>
    </row>
    <row r="18" spans="1:1" x14ac:dyDescent="0.45">
      <c r="A18" s="20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F4D46-A334-4BF9-BD7B-D267FD252312}">
  <dimension ref="A1:F48"/>
  <sheetViews>
    <sheetView workbookViewId="0"/>
  </sheetViews>
  <sheetFormatPr defaultRowHeight="14.25" x14ac:dyDescent="0.45"/>
  <cols>
    <col min="1" max="1" width="15.3984375" customWidth="1"/>
    <col min="2" max="2" width="12.73046875" customWidth="1"/>
    <col min="3" max="3" width="10.46484375" bestFit="1" customWidth="1"/>
    <col min="5" max="5" width="12.53125" customWidth="1"/>
  </cols>
  <sheetData>
    <row r="1" spans="1:3" x14ac:dyDescent="0.45">
      <c r="A1" s="3" t="s">
        <v>75</v>
      </c>
    </row>
    <row r="2" spans="1:3" x14ac:dyDescent="0.45">
      <c r="B2" t="s">
        <v>3</v>
      </c>
      <c r="C2" t="s">
        <v>4</v>
      </c>
    </row>
    <row r="3" spans="1:3" x14ac:dyDescent="0.45">
      <c r="A3" t="s">
        <v>0</v>
      </c>
      <c r="B3">
        <v>1.26</v>
      </c>
      <c r="C3">
        <v>1.63</v>
      </c>
    </row>
    <row r="4" spans="1:3" x14ac:dyDescent="0.45">
      <c r="A4" t="s">
        <v>1</v>
      </c>
      <c r="B4">
        <v>1.1000000000000001</v>
      </c>
      <c r="C4">
        <v>1.32</v>
      </c>
    </row>
    <row r="5" spans="1:3" x14ac:dyDescent="0.45">
      <c r="A5" t="s">
        <v>27</v>
      </c>
      <c r="B5">
        <v>1.85</v>
      </c>
      <c r="C5">
        <v>2</v>
      </c>
    </row>
    <row r="7" spans="1:3" x14ac:dyDescent="0.45">
      <c r="A7" t="s">
        <v>5</v>
      </c>
    </row>
    <row r="8" spans="1:3" x14ac:dyDescent="0.45">
      <c r="A8" t="s">
        <v>6</v>
      </c>
    </row>
    <row r="10" spans="1:3" x14ac:dyDescent="0.45">
      <c r="A10" s="3" t="s">
        <v>73</v>
      </c>
    </row>
    <row r="11" spans="1:3" x14ac:dyDescent="0.45">
      <c r="A11" t="s">
        <v>99</v>
      </c>
    </row>
    <row r="12" spans="1:3" x14ac:dyDescent="0.45">
      <c r="A12" t="s">
        <v>76</v>
      </c>
    </row>
    <row r="13" spans="1:3" x14ac:dyDescent="0.45">
      <c r="A13" t="s">
        <v>20</v>
      </c>
    </row>
    <row r="14" spans="1:3" x14ac:dyDescent="0.45">
      <c r="A14" t="s">
        <v>78</v>
      </c>
      <c r="B14">
        <v>200</v>
      </c>
    </row>
    <row r="15" spans="1:3" x14ac:dyDescent="0.45">
      <c r="A15" t="s">
        <v>12</v>
      </c>
      <c r="B15">
        <v>1.34</v>
      </c>
    </row>
    <row r="16" spans="1:3" x14ac:dyDescent="0.45">
      <c r="A16" t="s">
        <v>79</v>
      </c>
      <c r="B16">
        <v>3.23</v>
      </c>
    </row>
    <row r="17" spans="1:2" x14ac:dyDescent="0.45">
      <c r="A17" t="s">
        <v>80</v>
      </c>
      <c r="B17">
        <v>1.5</v>
      </c>
    </row>
    <row r="18" spans="1:2" x14ac:dyDescent="0.45">
      <c r="A18" s="1" t="s">
        <v>8</v>
      </c>
    </row>
    <row r="19" spans="1:2" x14ac:dyDescent="0.45">
      <c r="A19" s="1" t="s">
        <v>9</v>
      </c>
    </row>
    <row r="21" spans="1:2" x14ac:dyDescent="0.45">
      <c r="A21" s="3" t="s">
        <v>67</v>
      </c>
      <c r="B21" s="2"/>
    </row>
    <row r="22" spans="1:2" x14ac:dyDescent="0.45">
      <c r="A22" s="2" t="s">
        <v>95</v>
      </c>
      <c r="B22" s="2"/>
    </row>
    <row r="23" spans="1:2" x14ac:dyDescent="0.45">
      <c r="A23" s="2" t="s">
        <v>77</v>
      </c>
    </row>
    <row r="25" spans="1:2" x14ac:dyDescent="0.45">
      <c r="A25" s="6" t="s">
        <v>11</v>
      </c>
    </row>
    <row r="26" spans="1:2" x14ac:dyDescent="0.45">
      <c r="A26" t="s">
        <v>82</v>
      </c>
    </row>
    <row r="27" spans="1:2" x14ac:dyDescent="0.45">
      <c r="A27" s="1" t="s">
        <v>14</v>
      </c>
    </row>
    <row r="28" spans="1:2" x14ac:dyDescent="0.45">
      <c r="A28" t="s">
        <v>12</v>
      </c>
      <c r="B28">
        <v>7</v>
      </c>
    </row>
    <row r="29" spans="1:2" x14ac:dyDescent="0.45">
      <c r="A29" t="s">
        <v>87</v>
      </c>
      <c r="B29">
        <v>5</v>
      </c>
    </row>
    <row r="30" spans="1:2" x14ac:dyDescent="0.45">
      <c r="A30" t="s">
        <v>13</v>
      </c>
      <c r="B30">
        <v>5.4</v>
      </c>
    </row>
    <row r="31" spans="1:2" x14ac:dyDescent="0.45">
      <c r="A31" t="s">
        <v>88</v>
      </c>
      <c r="B31">
        <v>4.3</v>
      </c>
    </row>
    <row r="33" spans="1:6" x14ac:dyDescent="0.45">
      <c r="A33" s="6" t="s">
        <v>15</v>
      </c>
    </row>
    <row r="34" spans="1:6" x14ac:dyDescent="0.45">
      <c r="A34" s="1" t="s">
        <v>14</v>
      </c>
    </row>
    <row r="35" spans="1:6" x14ac:dyDescent="0.45">
      <c r="B35" t="s">
        <v>16</v>
      </c>
      <c r="C35" t="s">
        <v>12</v>
      </c>
      <c r="D35" t="s">
        <v>13</v>
      </c>
      <c r="E35" t="s">
        <v>81</v>
      </c>
      <c r="F35" t="s">
        <v>101</v>
      </c>
    </row>
    <row r="36" spans="1:6" x14ac:dyDescent="0.45">
      <c r="A36" t="s">
        <v>0</v>
      </c>
      <c r="B36" t="s">
        <v>17</v>
      </c>
      <c r="C36">
        <v>2.5</v>
      </c>
      <c r="D36">
        <v>2</v>
      </c>
      <c r="E36">
        <v>264</v>
      </c>
      <c r="F36">
        <f>E36/3600</f>
        <v>7.3333333333333334E-2</v>
      </c>
    </row>
    <row r="37" spans="1:6" x14ac:dyDescent="0.45">
      <c r="A37" t="s">
        <v>1</v>
      </c>
      <c r="B37" t="s">
        <v>18</v>
      </c>
      <c r="C37">
        <v>2</v>
      </c>
      <c r="D37">
        <v>1.5</v>
      </c>
      <c r="E37">
        <v>264</v>
      </c>
      <c r="F37">
        <f>E37/3600</f>
        <v>7.3333333333333334E-2</v>
      </c>
    </row>
    <row r="38" spans="1:6" x14ac:dyDescent="0.45">
      <c r="A38" t="s">
        <v>2</v>
      </c>
      <c r="B38" t="s">
        <v>19</v>
      </c>
      <c r="C38">
        <v>3.2</v>
      </c>
      <c r="D38">
        <v>2.5</v>
      </c>
      <c r="E38">
        <v>378</v>
      </c>
      <c r="F38">
        <f>E38/3600</f>
        <v>0.105</v>
      </c>
    </row>
    <row r="41" spans="1:6" x14ac:dyDescent="0.45">
      <c r="A41" s="3" t="s">
        <v>90</v>
      </c>
    </row>
    <row r="42" spans="1:6" x14ac:dyDescent="0.45">
      <c r="A42" s="2" t="s">
        <v>103</v>
      </c>
    </row>
    <row r="43" spans="1:6" x14ac:dyDescent="0.45">
      <c r="A43" s="2" t="s">
        <v>104</v>
      </c>
    </row>
    <row r="44" spans="1:6" x14ac:dyDescent="0.45">
      <c r="A44" t="s">
        <v>98</v>
      </c>
    </row>
    <row r="45" spans="1:6" x14ac:dyDescent="0.45">
      <c r="A45" s="20" t="s">
        <v>100</v>
      </c>
    </row>
    <row r="48" spans="1:6" x14ac:dyDescent="0.45">
      <c r="A48" s="20"/>
    </row>
  </sheetData>
  <hyperlinks>
    <hyperlink ref="A18" r:id="rId1" xr:uid="{4386DB2F-6BCF-47E1-A222-44F257214452}"/>
    <hyperlink ref="A19" r:id="rId2" xr:uid="{EE132186-FC72-4D78-8D7E-E29445089D1A}"/>
    <hyperlink ref="A27" r:id="rId3" xr:uid="{80376DC6-73DB-46F5-ABB7-769B33B477DE}"/>
    <hyperlink ref="A34" r:id="rId4" xr:uid="{E3262FC4-69EB-4BA9-AE3D-C8555A53A88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E4D78-BBD1-442C-9C86-037D4F84B0EC}">
  <dimension ref="A1:P39"/>
  <sheetViews>
    <sheetView workbookViewId="0"/>
  </sheetViews>
  <sheetFormatPr defaultRowHeight="14.25" x14ac:dyDescent="0.45"/>
  <cols>
    <col min="1" max="1" width="18.6640625" customWidth="1"/>
    <col min="2" max="2" width="15.9296875" customWidth="1"/>
    <col min="3" max="3" width="10.46484375" bestFit="1" customWidth="1"/>
  </cols>
  <sheetData>
    <row r="1" spans="1:5" x14ac:dyDescent="0.45">
      <c r="A1" s="3" t="s">
        <v>75</v>
      </c>
    </row>
    <row r="2" spans="1:5" x14ac:dyDescent="0.45">
      <c r="B2" t="s">
        <v>3</v>
      </c>
      <c r="C2" t="s">
        <v>4</v>
      </c>
    </row>
    <row r="3" spans="1:5" x14ac:dyDescent="0.45">
      <c r="A3" t="s">
        <v>0</v>
      </c>
      <c r="B3">
        <v>1.26</v>
      </c>
      <c r="C3">
        <v>1.63</v>
      </c>
    </row>
    <row r="4" spans="1:5" x14ac:dyDescent="0.45">
      <c r="A4" t="s">
        <v>1</v>
      </c>
      <c r="B4">
        <v>1.1000000000000001</v>
      </c>
      <c r="C4">
        <v>1.32</v>
      </c>
    </row>
    <row r="5" spans="1:5" x14ac:dyDescent="0.45">
      <c r="A5" t="s">
        <v>27</v>
      </c>
      <c r="B5">
        <v>1.85</v>
      </c>
      <c r="C5">
        <v>2</v>
      </c>
    </row>
    <row r="6" spans="1:5" x14ac:dyDescent="0.45">
      <c r="A6" t="s">
        <v>10</v>
      </c>
      <c r="D6" s="2"/>
      <c r="E6" s="2"/>
    </row>
    <row r="8" spans="1:5" x14ac:dyDescent="0.45">
      <c r="A8" t="s">
        <v>5</v>
      </c>
    </row>
    <row r="9" spans="1:5" x14ac:dyDescent="0.45">
      <c r="A9" t="s">
        <v>6</v>
      </c>
    </row>
    <row r="11" spans="1:5" x14ac:dyDescent="0.45">
      <c r="A11" s="3" t="s">
        <v>83</v>
      </c>
    </row>
    <row r="12" spans="1:5" x14ac:dyDescent="0.45">
      <c r="A12" t="s">
        <v>21</v>
      </c>
    </row>
    <row r="13" spans="1:5" x14ac:dyDescent="0.45">
      <c r="A13" s="1" t="s">
        <v>24</v>
      </c>
    </row>
    <row r="14" spans="1:5" x14ac:dyDescent="0.45">
      <c r="A14" t="s">
        <v>22</v>
      </c>
    </row>
    <row r="15" spans="1:5" x14ac:dyDescent="0.45">
      <c r="A15" t="s">
        <v>23</v>
      </c>
    </row>
    <row r="17" spans="1:7" x14ac:dyDescent="0.45">
      <c r="A17" t="s">
        <v>84</v>
      </c>
      <c r="B17">
        <v>180</v>
      </c>
    </row>
    <row r="18" spans="1:7" x14ac:dyDescent="0.45">
      <c r="A18" t="s">
        <v>85</v>
      </c>
      <c r="B18">
        <v>3.63</v>
      </c>
    </row>
    <row r="19" spans="1:7" x14ac:dyDescent="0.45">
      <c r="A19" t="s">
        <v>86</v>
      </c>
      <c r="B19">
        <v>6</v>
      </c>
    </row>
    <row r="21" spans="1:7" x14ac:dyDescent="0.45">
      <c r="A21" t="s">
        <v>12</v>
      </c>
      <c r="B21">
        <v>5.9</v>
      </c>
    </row>
    <row r="22" spans="1:7" x14ac:dyDescent="0.45">
      <c r="A22" t="s">
        <v>87</v>
      </c>
      <c r="B22">
        <v>3.5</v>
      </c>
    </row>
    <row r="23" spans="1:7" x14ac:dyDescent="0.45">
      <c r="A23" t="s">
        <v>13</v>
      </c>
      <c r="B23">
        <v>5.09</v>
      </c>
    </row>
    <row r="24" spans="1:7" x14ac:dyDescent="0.45">
      <c r="A24" t="s">
        <v>88</v>
      </c>
      <c r="B24">
        <v>3.28</v>
      </c>
    </row>
    <row r="26" spans="1:7" x14ac:dyDescent="0.45">
      <c r="A26" s="6" t="s">
        <v>89</v>
      </c>
    </row>
    <row r="27" spans="1:7" x14ac:dyDescent="0.45">
      <c r="A27" s="1" t="s">
        <v>25</v>
      </c>
    </row>
    <row r="28" spans="1:7" x14ac:dyDescent="0.45">
      <c r="B28" t="s">
        <v>16</v>
      </c>
      <c r="C28" t="s">
        <v>12</v>
      </c>
      <c r="D28" t="s">
        <v>13</v>
      </c>
      <c r="E28" t="s">
        <v>81</v>
      </c>
      <c r="F28" t="s">
        <v>102</v>
      </c>
    </row>
    <row r="29" spans="1:7" x14ac:dyDescent="0.45">
      <c r="A29" t="s">
        <v>0</v>
      </c>
      <c r="B29" t="s">
        <v>26</v>
      </c>
      <c r="C29">
        <v>2.02</v>
      </c>
      <c r="D29">
        <v>2.23</v>
      </c>
      <c r="E29">
        <v>357</v>
      </c>
      <c r="F29">
        <v>476</v>
      </c>
    </row>
    <row r="30" spans="1:7" x14ac:dyDescent="0.45">
      <c r="A30" t="s">
        <v>1</v>
      </c>
      <c r="B30" t="s">
        <v>26</v>
      </c>
      <c r="C30">
        <v>2.02</v>
      </c>
      <c r="D30">
        <v>2.23</v>
      </c>
      <c r="E30">
        <v>357</v>
      </c>
      <c r="F30">
        <v>476</v>
      </c>
    </row>
    <row r="31" spans="1:7" x14ac:dyDescent="0.45">
      <c r="A31" t="s">
        <v>2</v>
      </c>
      <c r="B31" t="s">
        <v>26</v>
      </c>
      <c r="C31">
        <v>2.02</v>
      </c>
      <c r="D31">
        <v>2.23</v>
      </c>
      <c r="E31">
        <v>357</v>
      </c>
      <c r="F31">
        <v>476</v>
      </c>
      <c r="G31">
        <f>F31/3600</f>
        <v>0.13222222222222221</v>
      </c>
    </row>
    <row r="34" spans="1:16" x14ac:dyDescent="0.45">
      <c r="A34" s="3" t="s">
        <v>90</v>
      </c>
    </row>
    <row r="35" spans="1:16" x14ac:dyDescent="0.45">
      <c r="A35" s="2" t="s">
        <v>94</v>
      </c>
    </row>
    <row r="36" spans="1:16" x14ac:dyDescent="0.45">
      <c r="A36" t="s">
        <v>96</v>
      </c>
      <c r="O36" s="4"/>
      <c r="P36" s="4"/>
    </row>
    <row r="37" spans="1:16" x14ac:dyDescent="0.45">
      <c r="A37" t="s">
        <v>97</v>
      </c>
    </row>
    <row r="38" spans="1:16" x14ac:dyDescent="0.45">
      <c r="A38" t="s">
        <v>98</v>
      </c>
    </row>
    <row r="39" spans="1:16" x14ac:dyDescent="0.45">
      <c r="A39" s="20" t="s">
        <v>100</v>
      </c>
    </row>
  </sheetData>
  <hyperlinks>
    <hyperlink ref="A13" r:id="rId1" xr:uid="{89298CB4-249E-4E1E-AD1C-49F9BD1411E6}"/>
    <hyperlink ref="A27" r:id="rId2" xr:uid="{240D9378-22BA-4AAF-BD3A-B35E9218F8C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6A3EC-46CB-4573-AD22-CD3FEAC4A8EF}">
  <dimension ref="A1:J13"/>
  <sheetViews>
    <sheetView workbookViewId="0"/>
  </sheetViews>
  <sheetFormatPr defaultRowHeight="14.25" x14ac:dyDescent="0.45"/>
  <cols>
    <col min="7" max="7" width="11.73046875" bestFit="1" customWidth="1"/>
    <col min="8" max="8" width="11.73046875" customWidth="1"/>
    <col min="9" max="9" width="11.3984375" bestFit="1" customWidth="1"/>
    <col min="10" max="10" width="70" bestFit="1" customWidth="1"/>
  </cols>
  <sheetData>
    <row r="1" spans="1:10" x14ac:dyDescent="0.45">
      <c r="B1" s="3" t="s">
        <v>105</v>
      </c>
      <c r="C1" s="3" t="s">
        <v>106</v>
      </c>
      <c r="D1" s="3" t="s">
        <v>107</v>
      </c>
      <c r="E1" s="3" t="s">
        <v>108</v>
      </c>
      <c r="F1" s="3" t="s">
        <v>109</v>
      </c>
      <c r="G1" s="3" t="s">
        <v>116</v>
      </c>
      <c r="H1" s="3" t="s">
        <v>117</v>
      </c>
      <c r="I1" s="3" t="s">
        <v>110</v>
      </c>
      <c r="J1" s="3" t="s">
        <v>111</v>
      </c>
    </row>
    <row r="2" spans="1:10" x14ac:dyDescent="0.45">
      <c r="A2" t="s">
        <v>112</v>
      </c>
      <c r="B2">
        <v>1.762</v>
      </c>
      <c r="C2">
        <v>1.1339999999999999</v>
      </c>
      <c r="D2" s="28">
        <f t="shared" ref="D2:D3" si="0">B2*C2</f>
        <v>1.9981079999999998</v>
      </c>
      <c r="E2">
        <v>455</v>
      </c>
      <c r="F2" s="4">
        <f t="shared" ref="F2:F3" si="1">E2/D2</f>
        <v>227.71541878617174</v>
      </c>
      <c r="G2" s="4">
        <f t="shared" ref="G2:G3" si="2">F2*12</f>
        <v>2732.5850254340608</v>
      </c>
      <c r="H2" s="4">
        <f>12/D2</f>
        <v>6.0056813745803534</v>
      </c>
      <c r="I2">
        <v>22.8</v>
      </c>
      <c r="J2" s="1" t="s">
        <v>114</v>
      </c>
    </row>
    <row r="3" spans="1:10" x14ac:dyDescent="0.45">
      <c r="A3" t="s">
        <v>113</v>
      </c>
      <c r="B3">
        <v>1.762</v>
      </c>
      <c r="C3">
        <v>1.1339999999999999</v>
      </c>
      <c r="D3" s="28">
        <f t="shared" si="0"/>
        <v>1.9981079999999998</v>
      </c>
      <c r="E3">
        <v>450</v>
      </c>
      <c r="F3" s="4">
        <f t="shared" si="1"/>
        <v>225.21305154676327</v>
      </c>
      <c r="G3" s="4">
        <f t="shared" si="2"/>
        <v>2702.5566185611592</v>
      </c>
      <c r="H3" s="4">
        <f>12/D3</f>
        <v>6.0056813745803534</v>
      </c>
      <c r="I3">
        <v>22.5</v>
      </c>
      <c r="J3" s="1" t="s">
        <v>115</v>
      </c>
    </row>
    <row r="4" spans="1:10" x14ac:dyDescent="0.45">
      <c r="F4" s="4"/>
      <c r="G4" s="4">
        <f>AVERAGE(G2:G3)</f>
        <v>2717.57082199761</v>
      </c>
      <c r="H4" s="4">
        <f>AVERAGE(H2:H3)</f>
        <v>6.0056813745803534</v>
      </c>
      <c r="I4" s="4">
        <f>AVERAGE(I2:I3)</f>
        <v>22.65</v>
      </c>
    </row>
    <row r="5" spans="1:10" x14ac:dyDescent="0.45">
      <c r="A5" t="s">
        <v>118</v>
      </c>
    </row>
    <row r="6" spans="1:10" x14ac:dyDescent="0.45">
      <c r="A6" t="s">
        <v>119</v>
      </c>
    </row>
    <row r="7" spans="1:10" x14ac:dyDescent="0.45">
      <c r="A7" t="s">
        <v>124</v>
      </c>
    </row>
    <row r="8" spans="1:10" x14ac:dyDescent="0.45">
      <c r="A8" s="2" t="s">
        <v>125</v>
      </c>
    </row>
    <row r="9" spans="1:10" x14ac:dyDescent="0.45">
      <c r="A9" s="2" t="s">
        <v>121</v>
      </c>
    </row>
    <row r="10" spans="1:10" x14ac:dyDescent="0.45">
      <c r="A10" t="s">
        <v>120</v>
      </c>
    </row>
    <row r="12" spans="1:10" x14ac:dyDescent="0.45">
      <c r="A12" s="20" t="s">
        <v>122</v>
      </c>
    </row>
    <row r="13" spans="1:10" x14ac:dyDescent="0.45">
      <c r="A13" t="s">
        <v>123</v>
      </c>
    </row>
  </sheetData>
  <hyperlinks>
    <hyperlink ref="J2" r:id="rId1" xr:uid="{1AE1B3F3-3319-489D-9680-6116FE28BEE1}"/>
    <hyperlink ref="J3" r:id="rId2" xr:uid="{857331AE-DFB1-46F3-8BC9-07CA850DF11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46946-4EC8-45B8-A8A4-F05FF2A18A87}">
  <dimension ref="A1:O23"/>
  <sheetViews>
    <sheetView workbookViewId="0"/>
  </sheetViews>
  <sheetFormatPr defaultRowHeight="14.25" x14ac:dyDescent="0.45"/>
  <cols>
    <col min="14" max="14" width="11.19921875" customWidth="1"/>
    <col min="15" max="15" width="12.1328125" customWidth="1"/>
  </cols>
  <sheetData>
    <row r="1" spans="1:15" x14ac:dyDescent="0.45">
      <c r="A1" s="3" t="s">
        <v>157</v>
      </c>
    </row>
    <row r="2" spans="1:15" x14ac:dyDescent="0.45">
      <c r="A2" t="s">
        <v>126</v>
      </c>
      <c r="N2" s="3" t="s">
        <v>173</v>
      </c>
    </row>
    <row r="3" spans="1:15" x14ac:dyDescent="0.45">
      <c r="A3" s="1" t="s">
        <v>127</v>
      </c>
    </row>
    <row r="4" spans="1:15" x14ac:dyDescent="0.45">
      <c r="A4" t="s">
        <v>129</v>
      </c>
      <c r="B4" t="s">
        <v>160</v>
      </c>
      <c r="C4" t="s">
        <v>161</v>
      </c>
      <c r="D4" t="s">
        <v>162</v>
      </c>
      <c r="E4" t="s">
        <v>163</v>
      </c>
      <c r="F4" t="s">
        <v>164</v>
      </c>
      <c r="G4" t="s">
        <v>165</v>
      </c>
      <c r="H4" t="s">
        <v>166</v>
      </c>
      <c r="I4" t="s">
        <v>167</v>
      </c>
      <c r="J4" t="s">
        <v>168</v>
      </c>
      <c r="K4" t="s">
        <v>169</v>
      </c>
      <c r="L4" t="s">
        <v>170</v>
      </c>
      <c r="N4" t="s">
        <v>171</v>
      </c>
      <c r="O4" t="s">
        <v>172</v>
      </c>
    </row>
    <row r="5" spans="1:15" x14ac:dyDescent="0.45">
      <c r="A5" s="67">
        <v>9.3000000000000007</v>
      </c>
      <c r="B5">
        <v>10.199999999999999</v>
      </c>
      <c r="C5">
        <v>11.9</v>
      </c>
      <c r="D5">
        <v>14.4</v>
      </c>
      <c r="E5">
        <v>16</v>
      </c>
      <c r="F5">
        <v>18.399999999999999</v>
      </c>
      <c r="G5">
        <v>20.100000000000001</v>
      </c>
      <c r="H5">
        <v>20.9</v>
      </c>
      <c r="I5">
        <v>19.7</v>
      </c>
      <c r="J5">
        <v>17.2</v>
      </c>
      <c r="K5">
        <v>12.5</v>
      </c>
      <c r="L5">
        <v>11.1</v>
      </c>
      <c r="N5" s="4">
        <f>AVERAGE(A5:L5)</f>
        <v>15.141666666666664</v>
      </c>
      <c r="O5" s="4">
        <f>MAX(A5:L5)-MIN(A5:L5)</f>
        <v>11.599999999999998</v>
      </c>
    </row>
    <row r="7" spans="1:15" x14ac:dyDescent="0.45">
      <c r="A7" s="3" t="s">
        <v>151</v>
      </c>
    </row>
    <row r="8" spans="1:15" x14ac:dyDescent="0.45">
      <c r="A8" t="s">
        <v>155</v>
      </c>
    </row>
    <row r="9" spans="1:15" x14ac:dyDescent="0.45">
      <c r="A9" s="1" t="s">
        <v>156</v>
      </c>
    </row>
    <row r="10" spans="1:15" x14ac:dyDescent="0.45">
      <c r="A10" t="s">
        <v>129</v>
      </c>
      <c r="B10" t="s">
        <v>160</v>
      </c>
      <c r="C10" t="s">
        <v>161</v>
      </c>
      <c r="D10" t="s">
        <v>162</v>
      </c>
      <c r="E10" t="s">
        <v>163</v>
      </c>
      <c r="F10" t="s">
        <v>164</v>
      </c>
      <c r="G10" t="s">
        <v>165</v>
      </c>
      <c r="H10" t="s">
        <v>166</v>
      </c>
      <c r="I10" t="s">
        <v>167</v>
      </c>
      <c r="J10" t="s">
        <v>168</v>
      </c>
      <c r="K10" t="s">
        <v>169</v>
      </c>
      <c r="L10" t="s">
        <v>170</v>
      </c>
      <c r="N10" t="s">
        <v>171</v>
      </c>
      <c r="O10" t="s">
        <v>172</v>
      </c>
    </row>
    <row r="11" spans="1:15" x14ac:dyDescent="0.45">
      <c r="A11" s="67">
        <v>10.3</v>
      </c>
      <c r="B11">
        <v>11.2</v>
      </c>
      <c r="C11">
        <v>13</v>
      </c>
      <c r="D11">
        <v>15.7</v>
      </c>
      <c r="E11">
        <v>17.5</v>
      </c>
      <c r="F11">
        <v>20.2</v>
      </c>
      <c r="G11">
        <v>22.1</v>
      </c>
      <c r="H11">
        <v>22.8</v>
      </c>
      <c r="I11">
        <v>21.5</v>
      </c>
      <c r="J11">
        <v>18.899999999999999</v>
      </c>
      <c r="K11">
        <v>13.7</v>
      </c>
      <c r="L11">
        <v>12.1</v>
      </c>
      <c r="N11" s="4">
        <f>AVERAGE(A11:L11)</f>
        <v>16.583333333333332</v>
      </c>
      <c r="O11">
        <f>MAX(A11:L11)-MIN(A11:L11)</f>
        <v>12.5</v>
      </c>
    </row>
    <row r="13" spans="1:15" x14ac:dyDescent="0.45">
      <c r="A13" s="3" t="s">
        <v>152</v>
      </c>
    </row>
    <row r="14" spans="1:15" x14ac:dyDescent="0.45">
      <c r="A14" t="s">
        <v>155</v>
      </c>
    </row>
    <row r="15" spans="1:15" x14ac:dyDescent="0.45">
      <c r="A15" s="1" t="s">
        <v>156</v>
      </c>
    </row>
    <row r="16" spans="1:15" x14ac:dyDescent="0.45">
      <c r="A16" t="s">
        <v>129</v>
      </c>
      <c r="B16" t="s">
        <v>160</v>
      </c>
      <c r="C16" t="s">
        <v>161</v>
      </c>
      <c r="D16" t="s">
        <v>162</v>
      </c>
      <c r="E16" t="s">
        <v>163</v>
      </c>
      <c r="F16" t="s">
        <v>164</v>
      </c>
      <c r="G16" t="s">
        <v>165</v>
      </c>
      <c r="H16" t="s">
        <v>166</v>
      </c>
      <c r="I16" t="s">
        <v>167</v>
      </c>
      <c r="J16" t="s">
        <v>168</v>
      </c>
      <c r="K16" t="s">
        <v>169</v>
      </c>
      <c r="L16" t="s">
        <v>170</v>
      </c>
      <c r="N16" t="s">
        <v>171</v>
      </c>
      <c r="O16" t="s">
        <v>172</v>
      </c>
    </row>
    <row r="17" spans="1:15" x14ac:dyDescent="0.45">
      <c r="A17" s="67">
        <v>10.5</v>
      </c>
      <c r="B17">
        <v>11.4</v>
      </c>
      <c r="C17">
        <v>13</v>
      </c>
      <c r="D17">
        <v>15.8</v>
      </c>
      <c r="E17">
        <v>17.899999999999999</v>
      </c>
      <c r="F17">
        <v>20.5</v>
      </c>
      <c r="G17">
        <v>22.4</v>
      </c>
      <c r="H17">
        <v>23</v>
      </c>
      <c r="I17">
        <v>21.7</v>
      </c>
      <c r="J17">
        <v>19.100000000000001</v>
      </c>
      <c r="K17">
        <v>13.9</v>
      </c>
      <c r="L17">
        <v>12.5</v>
      </c>
      <c r="N17" s="4">
        <f>AVERAGE(A17:L17)</f>
        <v>16.808333333333334</v>
      </c>
      <c r="O17">
        <f>MAX(A17:L17)-MIN(A17:L17)</f>
        <v>12.5</v>
      </c>
    </row>
    <row r="19" spans="1:15" x14ac:dyDescent="0.45">
      <c r="A19" s="3" t="s">
        <v>153</v>
      </c>
    </row>
    <row r="20" spans="1:15" x14ac:dyDescent="0.45">
      <c r="A20" t="s">
        <v>155</v>
      </c>
    </row>
    <row r="21" spans="1:15" x14ac:dyDescent="0.45">
      <c r="A21" s="1" t="s">
        <v>156</v>
      </c>
    </row>
    <row r="22" spans="1:15" x14ac:dyDescent="0.45">
      <c r="A22" t="s">
        <v>129</v>
      </c>
      <c r="B22" t="s">
        <v>160</v>
      </c>
      <c r="C22" t="s">
        <v>161</v>
      </c>
      <c r="D22" t="s">
        <v>162</v>
      </c>
      <c r="E22" t="s">
        <v>163</v>
      </c>
      <c r="F22" t="s">
        <v>164</v>
      </c>
      <c r="G22" t="s">
        <v>165</v>
      </c>
      <c r="H22" t="s">
        <v>166</v>
      </c>
      <c r="I22" t="s">
        <v>167</v>
      </c>
      <c r="J22" t="s">
        <v>168</v>
      </c>
      <c r="K22" t="s">
        <v>169</v>
      </c>
      <c r="L22" t="s">
        <v>170</v>
      </c>
      <c r="N22" t="s">
        <v>171</v>
      </c>
      <c r="O22" t="s">
        <v>172</v>
      </c>
    </row>
    <row r="23" spans="1:15" x14ac:dyDescent="0.45">
      <c r="A23" s="67">
        <v>11.4</v>
      </c>
      <c r="B23">
        <v>12.3</v>
      </c>
      <c r="C23">
        <v>14</v>
      </c>
      <c r="D23">
        <v>17</v>
      </c>
      <c r="E23">
        <v>19.3</v>
      </c>
      <c r="F23">
        <v>22.2</v>
      </c>
      <c r="G23">
        <v>23.8</v>
      </c>
      <c r="H23">
        <v>24.4</v>
      </c>
      <c r="I23">
        <v>23.4</v>
      </c>
      <c r="J23">
        <v>20.5</v>
      </c>
      <c r="K23">
        <v>15.1</v>
      </c>
      <c r="L23">
        <v>13.4</v>
      </c>
      <c r="N23" s="4">
        <f>AVERAGE(A23:L23)</f>
        <v>18.066666666666666</v>
      </c>
      <c r="O23">
        <f>MAX(A23:L23)-MIN(A23:L23)</f>
        <v>12.999999999999998</v>
      </c>
    </row>
  </sheetData>
  <hyperlinks>
    <hyperlink ref="A3" r:id="rId1" xr:uid="{72B23963-C848-4A67-AE3D-AB752105E532}"/>
    <hyperlink ref="A21" r:id="rId2" xr:uid="{8C8F6C51-B4EF-43B3-B809-D958C0911B4D}"/>
    <hyperlink ref="A15" r:id="rId3" xr:uid="{F461AAF0-16B2-4159-9A9D-1D377B306024}"/>
    <hyperlink ref="A9" r:id="rId4" xr:uid="{49BB2858-21BE-4FC8-853F-8468C0A5646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BFEDC-964B-405C-A9A9-486674E8AE08}">
  <dimension ref="A1:N152"/>
  <sheetViews>
    <sheetView zoomScaleNormal="100" workbookViewId="0">
      <selection activeCell="B1" sqref="B1"/>
    </sheetView>
  </sheetViews>
  <sheetFormatPr defaultRowHeight="14.25" x14ac:dyDescent="0.45"/>
  <cols>
    <col min="1" max="1" width="3.33203125" customWidth="1"/>
    <col min="2" max="2" width="50.265625" bestFit="1" customWidth="1"/>
    <col min="3" max="3" width="9.3984375" bestFit="1" customWidth="1"/>
    <col min="4" max="4" width="14.06640625" customWidth="1"/>
    <col min="5" max="5" width="18.1328125" customWidth="1"/>
    <col min="6" max="6" width="9.06640625" customWidth="1"/>
    <col min="7" max="7" width="10" bestFit="1" customWidth="1"/>
    <col min="8" max="8" width="17" bestFit="1" customWidth="1"/>
    <col min="9" max="9" width="19.46484375" bestFit="1" customWidth="1"/>
    <col min="10" max="10" width="14.53125" bestFit="1" customWidth="1"/>
    <col min="11" max="11" width="16.265625" bestFit="1" customWidth="1"/>
    <col min="12" max="12" width="17" bestFit="1" customWidth="1"/>
    <col min="13" max="13" width="16.9296875" bestFit="1" customWidth="1"/>
    <col min="14" max="14" width="16.33203125" bestFit="1" customWidth="1"/>
  </cols>
  <sheetData>
    <row r="1" spans="1:14" x14ac:dyDescent="0.45">
      <c r="B1" t="s">
        <v>29</v>
      </c>
    </row>
    <row r="2" spans="1:14" x14ac:dyDescent="0.45">
      <c r="B2" t="s">
        <v>30</v>
      </c>
      <c r="C2">
        <f>3.66+3.16+9.24+3.27+7.22+19.38+11.69+15.78</f>
        <v>73.399999999999991</v>
      </c>
    </row>
    <row r="3" spans="1:14" x14ac:dyDescent="0.45">
      <c r="B3" t="s">
        <v>31</v>
      </c>
      <c r="C3">
        <f>19.38+11.69+15.78</f>
        <v>46.85</v>
      </c>
    </row>
    <row r="5" spans="1:14" x14ac:dyDescent="0.45">
      <c r="A5" s="63" t="s">
        <v>154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</row>
    <row r="6" spans="1:14" ht="14.65" thickBot="1" x14ac:dyDescent="0.5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</row>
    <row r="7" spans="1:14" x14ac:dyDescent="0.45">
      <c r="A7" s="10"/>
      <c r="B7" s="25" t="s">
        <v>53</v>
      </c>
      <c r="C7" s="25"/>
      <c r="D7" s="25"/>
      <c r="E7" s="26"/>
      <c r="G7" s="29" t="s">
        <v>53</v>
      </c>
      <c r="H7" s="25"/>
      <c r="I7" s="25"/>
      <c r="J7" s="25"/>
      <c r="K7" s="25"/>
      <c r="L7" s="25"/>
      <c r="M7" s="25"/>
      <c r="N7" s="26"/>
    </row>
    <row r="8" spans="1:14" x14ac:dyDescent="0.45">
      <c r="A8" s="11"/>
      <c r="B8" s="31" t="s">
        <v>32</v>
      </c>
      <c r="C8" s="31"/>
      <c r="D8" s="31"/>
      <c r="E8" s="27"/>
      <c r="G8" s="30" t="s">
        <v>149</v>
      </c>
      <c r="H8" s="31"/>
      <c r="I8" s="31"/>
      <c r="J8" s="31"/>
      <c r="K8" s="31"/>
      <c r="L8" s="31"/>
      <c r="M8" s="31"/>
      <c r="N8" s="27"/>
    </row>
    <row r="9" spans="1:14" x14ac:dyDescent="0.45">
      <c r="A9" s="24" t="s">
        <v>55</v>
      </c>
      <c r="B9" s="37" t="s">
        <v>33</v>
      </c>
      <c r="C9" s="38">
        <v>731.43</v>
      </c>
      <c r="D9" s="33"/>
      <c r="E9" s="12"/>
      <c r="G9" s="11"/>
      <c r="H9" s="32" t="s">
        <v>143</v>
      </c>
      <c r="I9" s="32" t="s">
        <v>142</v>
      </c>
      <c r="J9" s="32" t="s">
        <v>144</v>
      </c>
      <c r="K9" s="32" t="s">
        <v>145</v>
      </c>
      <c r="L9" s="32" t="s">
        <v>146</v>
      </c>
      <c r="M9" s="32" t="s">
        <v>147</v>
      </c>
      <c r="N9" s="13" t="s">
        <v>54</v>
      </c>
    </row>
    <row r="10" spans="1:14" x14ac:dyDescent="0.45">
      <c r="A10" s="24"/>
      <c r="B10" s="37" t="s">
        <v>34</v>
      </c>
      <c r="C10" s="38">
        <v>335.31</v>
      </c>
      <c r="D10" s="32" t="s">
        <v>35</v>
      </c>
      <c r="E10" s="13" t="s">
        <v>36</v>
      </c>
      <c r="G10" s="11" t="s">
        <v>130</v>
      </c>
      <c r="H10" s="33">
        <v>28.48</v>
      </c>
      <c r="I10" s="33">
        <v>62.12</v>
      </c>
      <c r="J10" s="33">
        <v>13.95</v>
      </c>
      <c r="K10" s="33">
        <v>0.43</v>
      </c>
      <c r="L10" s="33">
        <v>492.66</v>
      </c>
      <c r="M10" s="33">
        <v>0</v>
      </c>
      <c r="N10" s="12">
        <v>298.45999999999998</v>
      </c>
    </row>
    <row r="11" spans="1:14" ht="14.65" customHeight="1" thickBot="1" x14ac:dyDescent="0.5">
      <c r="A11" s="24" t="s">
        <v>28</v>
      </c>
      <c r="B11" s="39" t="s">
        <v>61</v>
      </c>
      <c r="C11" s="40">
        <f>638.57+660.89+989.36</f>
        <v>2288.8200000000002</v>
      </c>
      <c r="D11" s="41"/>
      <c r="E11" s="14"/>
      <c r="G11" s="11" t="s">
        <v>131</v>
      </c>
      <c r="H11" s="33">
        <v>25.72</v>
      </c>
      <c r="I11" s="33">
        <v>56.11</v>
      </c>
      <c r="J11" s="33">
        <v>12.18</v>
      </c>
      <c r="K11" s="33">
        <v>0.33</v>
      </c>
      <c r="L11" s="33">
        <v>365.09</v>
      </c>
      <c r="M11" s="33">
        <v>0</v>
      </c>
      <c r="N11" s="12">
        <v>270.37</v>
      </c>
    </row>
    <row r="12" spans="1:14" ht="14.65" thickBot="1" x14ac:dyDescent="0.5">
      <c r="A12" s="24"/>
      <c r="B12" s="39" t="s">
        <v>37</v>
      </c>
      <c r="C12" s="7">
        <v>2073.61</v>
      </c>
      <c r="D12" s="41">
        <f>C12/$C$2</f>
        <v>28.250817438692103</v>
      </c>
      <c r="E12" s="14">
        <f>C12/$C$3</f>
        <v>44.260618996798293</v>
      </c>
      <c r="G12" s="11" t="s">
        <v>132</v>
      </c>
      <c r="H12" s="33">
        <v>28.48</v>
      </c>
      <c r="I12" s="33">
        <v>62.12</v>
      </c>
      <c r="J12" s="33">
        <v>12.15</v>
      </c>
      <c r="K12" s="33">
        <v>0.26</v>
      </c>
      <c r="L12" s="33">
        <v>275.89</v>
      </c>
      <c r="M12" s="33">
        <v>0</v>
      </c>
      <c r="N12" s="12">
        <v>294.3</v>
      </c>
    </row>
    <row r="13" spans="1:14" x14ac:dyDescent="0.45">
      <c r="A13" s="24"/>
      <c r="B13" s="39" t="s">
        <v>56</v>
      </c>
      <c r="C13" s="40">
        <v>735.44</v>
      </c>
      <c r="D13" s="41"/>
      <c r="E13" s="14"/>
      <c r="G13" s="11" t="s">
        <v>133</v>
      </c>
      <c r="H13" s="33">
        <v>27.56</v>
      </c>
      <c r="I13" s="33">
        <v>60.12</v>
      </c>
      <c r="J13" s="33">
        <v>9.5500000000000007</v>
      </c>
      <c r="K13" s="33">
        <v>0.2</v>
      </c>
      <c r="L13" s="33">
        <v>195.82</v>
      </c>
      <c r="M13" s="33">
        <v>0.13</v>
      </c>
      <c r="N13" s="12">
        <v>275.16000000000003</v>
      </c>
    </row>
    <row r="14" spans="1:14" x14ac:dyDescent="0.45">
      <c r="A14" s="24"/>
      <c r="B14" s="39" t="s">
        <v>57</v>
      </c>
      <c r="C14" s="40">
        <v>607.9</v>
      </c>
      <c r="D14" s="41"/>
      <c r="E14" s="14"/>
      <c r="G14" s="11" t="s">
        <v>134</v>
      </c>
      <c r="H14" s="33">
        <v>28.48</v>
      </c>
      <c r="I14" s="33">
        <v>62.12</v>
      </c>
      <c r="J14" s="33">
        <v>6.98</v>
      </c>
      <c r="K14" s="33">
        <v>0.14000000000000001</v>
      </c>
      <c r="L14" s="33">
        <v>76.66</v>
      </c>
      <c r="M14" s="33">
        <v>1.35</v>
      </c>
      <c r="N14" s="12">
        <v>272.16000000000003</v>
      </c>
    </row>
    <row r="15" spans="1:14" x14ac:dyDescent="0.45">
      <c r="A15" s="24"/>
      <c r="B15" s="39" t="s">
        <v>58</v>
      </c>
      <c r="C15" s="40">
        <v>566.70000000000005</v>
      </c>
      <c r="D15" s="41"/>
      <c r="E15" s="14"/>
      <c r="G15" s="11" t="s">
        <v>135</v>
      </c>
      <c r="H15" s="33">
        <v>27.56</v>
      </c>
      <c r="I15" s="33">
        <v>60.12</v>
      </c>
      <c r="J15" s="33">
        <v>3.98</v>
      </c>
      <c r="K15" s="33">
        <v>0.22</v>
      </c>
      <c r="L15" s="33">
        <v>7.73</v>
      </c>
      <c r="M15" s="33">
        <v>6.47</v>
      </c>
      <c r="N15" s="12">
        <v>252.61</v>
      </c>
    </row>
    <row r="16" spans="1:14" ht="14.65" thickBot="1" x14ac:dyDescent="0.5">
      <c r="A16" s="24"/>
      <c r="B16" s="42" t="s">
        <v>62</v>
      </c>
      <c r="C16" s="43">
        <f>123.09+48.55+33.14</f>
        <v>204.77999999999997</v>
      </c>
      <c r="D16" s="44"/>
      <c r="E16" s="15"/>
      <c r="G16" s="11" t="s">
        <v>136</v>
      </c>
      <c r="H16" s="33">
        <v>28.48</v>
      </c>
      <c r="I16" s="33">
        <v>62.12</v>
      </c>
      <c r="J16" s="33">
        <v>4.58</v>
      </c>
      <c r="K16" s="33">
        <v>0.76</v>
      </c>
      <c r="L16" s="33">
        <v>0</v>
      </c>
      <c r="M16" s="33">
        <v>30.99</v>
      </c>
      <c r="N16" s="12">
        <v>254.02</v>
      </c>
    </row>
    <row r="17" spans="1:14" ht="14.65" thickBot="1" x14ac:dyDescent="0.5">
      <c r="A17" s="24"/>
      <c r="B17" s="42" t="s">
        <v>38</v>
      </c>
      <c r="C17" s="8">
        <v>96.14</v>
      </c>
      <c r="D17" s="44">
        <f>C17/$C$2</f>
        <v>1.3098092643051773</v>
      </c>
      <c r="E17" s="15">
        <f>C17/$C$3</f>
        <v>2.0520811099252936</v>
      </c>
      <c r="G17" s="11" t="s">
        <v>137</v>
      </c>
      <c r="H17" s="33">
        <v>28.48</v>
      </c>
      <c r="I17" s="33">
        <v>62.12</v>
      </c>
      <c r="J17" s="33">
        <v>4.8600000000000003</v>
      </c>
      <c r="K17" s="33">
        <v>0.85</v>
      </c>
      <c r="L17" s="33">
        <v>0.01</v>
      </c>
      <c r="M17" s="33">
        <v>36.04</v>
      </c>
      <c r="N17" s="12">
        <v>252.97</v>
      </c>
    </row>
    <row r="18" spans="1:14" x14ac:dyDescent="0.45">
      <c r="A18" s="24"/>
      <c r="B18" s="42" t="s">
        <v>59</v>
      </c>
      <c r="C18" s="43">
        <v>0.44</v>
      </c>
      <c r="D18" s="43"/>
      <c r="E18" s="15"/>
      <c r="G18" s="11" t="s">
        <v>138</v>
      </c>
      <c r="H18" s="33">
        <v>27.56</v>
      </c>
      <c r="I18" s="33">
        <v>60.12</v>
      </c>
      <c r="J18" s="33">
        <v>3.97</v>
      </c>
      <c r="K18" s="33">
        <v>0.56999999999999995</v>
      </c>
      <c r="L18" s="33">
        <v>0.26</v>
      </c>
      <c r="M18" s="33">
        <v>20.53</v>
      </c>
      <c r="N18" s="12">
        <v>249.91</v>
      </c>
    </row>
    <row r="19" spans="1:14" x14ac:dyDescent="0.45">
      <c r="A19" s="24"/>
      <c r="B19" s="42" t="s">
        <v>64</v>
      </c>
      <c r="C19" s="43">
        <v>0.1</v>
      </c>
      <c r="D19" s="43"/>
      <c r="E19" s="15"/>
      <c r="G19" s="11" t="s">
        <v>139</v>
      </c>
      <c r="H19" s="33">
        <v>28.48</v>
      </c>
      <c r="I19" s="33">
        <v>62.12</v>
      </c>
      <c r="J19" s="33">
        <v>4.26</v>
      </c>
      <c r="K19" s="33">
        <v>0.08</v>
      </c>
      <c r="L19" s="33">
        <v>15.13</v>
      </c>
      <c r="M19" s="33">
        <v>0.64</v>
      </c>
      <c r="N19" s="12">
        <v>268.31</v>
      </c>
    </row>
    <row r="20" spans="1:14" ht="14.65" thickBot="1" x14ac:dyDescent="0.5">
      <c r="A20" s="24"/>
      <c r="B20" s="42" t="s">
        <v>60</v>
      </c>
      <c r="C20" s="43">
        <v>0.73</v>
      </c>
      <c r="D20" s="43"/>
      <c r="E20" s="15"/>
      <c r="G20" s="11" t="s">
        <v>140</v>
      </c>
      <c r="H20" s="33">
        <v>27.56</v>
      </c>
      <c r="I20" s="33">
        <v>60.12</v>
      </c>
      <c r="J20" s="33">
        <v>10.97</v>
      </c>
      <c r="K20" s="33">
        <v>0.25</v>
      </c>
      <c r="L20" s="33">
        <v>269.26</v>
      </c>
      <c r="M20" s="33">
        <v>0</v>
      </c>
      <c r="N20" s="12">
        <v>271.48</v>
      </c>
    </row>
    <row r="21" spans="1:14" ht="14.65" thickBot="1" x14ac:dyDescent="0.5">
      <c r="A21" s="24"/>
      <c r="B21" s="45" t="s">
        <v>50</v>
      </c>
      <c r="C21" s="21">
        <f>100.79-12.67</f>
        <v>88.12</v>
      </c>
      <c r="D21" s="46"/>
      <c r="E21" s="74"/>
      <c r="G21" s="11" t="s">
        <v>141</v>
      </c>
      <c r="H21" s="33">
        <v>28.48</v>
      </c>
      <c r="I21" s="33">
        <v>62.12</v>
      </c>
      <c r="J21" s="33">
        <v>13.35</v>
      </c>
      <c r="K21" s="33">
        <v>0.33</v>
      </c>
      <c r="L21" s="33">
        <v>375.09</v>
      </c>
      <c r="M21" s="33">
        <v>0</v>
      </c>
      <c r="N21" s="12">
        <v>291.49</v>
      </c>
    </row>
    <row r="22" spans="1:14" x14ac:dyDescent="0.45">
      <c r="A22" s="24" t="s">
        <v>7</v>
      </c>
      <c r="B22" s="47" t="s">
        <v>66</v>
      </c>
      <c r="C22" s="48">
        <f>4.43*0.05</f>
        <v>0.2215</v>
      </c>
      <c r="D22" s="49"/>
      <c r="E22" s="16"/>
      <c r="G22" s="11"/>
      <c r="H22" s="33"/>
      <c r="I22" s="33"/>
      <c r="J22" s="33"/>
      <c r="K22" s="33"/>
      <c r="L22" s="33"/>
      <c r="M22" s="33"/>
      <c r="N22" s="12"/>
    </row>
    <row r="23" spans="1:14" ht="14.65" customHeight="1" thickBot="1" x14ac:dyDescent="0.5">
      <c r="A23" s="24"/>
      <c r="B23" s="50" t="s">
        <v>63</v>
      </c>
      <c r="C23" s="51">
        <v>2466.3000000000002</v>
      </c>
      <c r="D23" s="51"/>
      <c r="E23" s="77"/>
      <c r="G23" s="18" t="s">
        <v>148</v>
      </c>
      <c r="H23" s="19">
        <v>335.31</v>
      </c>
      <c r="I23" s="19">
        <v>731.43</v>
      </c>
      <c r="J23" s="19">
        <v>100.79</v>
      </c>
      <c r="K23" s="19">
        <v>4.43</v>
      </c>
      <c r="L23" s="19">
        <v>2073.61</v>
      </c>
      <c r="M23" s="19">
        <v>96.14</v>
      </c>
      <c r="N23" s="34">
        <v>3251.24</v>
      </c>
    </row>
    <row r="24" spans="1:14" ht="14.65" thickBot="1" x14ac:dyDescent="0.5">
      <c r="A24" s="24"/>
      <c r="B24" s="52" t="s">
        <v>54</v>
      </c>
      <c r="C24" s="9">
        <v>3251.24</v>
      </c>
      <c r="D24" s="53"/>
      <c r="E24" s="79"/>
    </row>
    <row r="25" spans="1:14" x14ac:dyDescent="0.45">
      <c r="A25" s="24"/>
      <c r="B25" s="50" t="s">
        <v>39</v>
      </c>
      <c r="C25" s="51"/>
      <c r="D25" s="51"/>
      <c r="E25" s="79"/>
    </row>
    <row r="26" spans="1:14" x14ac:dyDescent="0.45">
      <c r="A26" s="11"/>
      <c r="B26" s="54" t="s">
        <v>51</v>
      </c>
      <c r="C26" s="55">
        <f>C9+C10+C12+C17+C21+C22</f>
        <v>3324.8315000000002</v>
      </c>
      <c r="D26" s="56"/>
      <c r="E26" s="35"/>
    </row>
    <row r="27" spans="1:14" x14ac:dyDescent="0.45">
      <c r="A27" s="11"/>
      <c r="B27" s="54" t="s">
        <v>65</v>
      </c>
      <c r="C27" s="57">
        <f>C24</f>
        <v>3251.24</v>
      </c>
      <c r="D27" s="56"/>
      <c r="E27" s="35"/>
    </row>
    <row r="28" spans="1:14" x14ac:dyDescent="0.45">
      <c r="A28" s="11"/>
      <c r="B28" s="33"/>
      <c r="C28" s="33"/>
      <c r="D28" s="33"/>
      <c r="E28" s="12"/>
    </row>
    <row r="29" spans="1:14" ht="15.75" x14ac:dyDescent="0.5">
      <c r="A29" s="24" t="s">
        <v>52</v>
      </c>
      <c r="B29" s="58" t="s">
        <v>40</v>
      </c>
      <c r="C29" s="59">
        <v>4064.3620000000001</v>
      </c>
      <c r="D29" s="33"/>
      <c r="E29" s="12"/>
    </row>
    <row r="30" spans="1:14" ht="15.75" x14ac:dyDescent="0.5">
      <c r="A30" s="24"/>
      <c r="B30" s="58" t="s">
        <v>41</v>
      </c>
      <c r="C30" s="60">
        <v>-131.97</v>
      </c>
      <c r="D30" s="33"/>
      <c r="E30" s="12"/>
    </row>
    <row r="31" spans="1:14" ht="15.75" x14ac:dyDescent="0.5">
      <c r="A31" s="24"/>
      <c r="B31" s="58" t="s">
        <v>42</v>
      </c>
      <c r="C31" s="60">
        <v>-117.97</v>
      </c>
      <c r="D31" s="33"/>
      <c r="E31" s="82"/>
    </row>
    <row r="32" spans="1:14" ht="15.75" x14ac:dyDescent="0.45">
      <c r="A32" s="24"/>
      <c r="B32" s="58" t="s">
        <v>43</v>
      </c>
      <c r="C32" s="61">
        <f>C29+C30+C31</f>
        <v>3814.4220000000005</v>
      </c>
      <c r="D32" s="33"/>
      <c r="E32" s="12"/>
    </row>
    <row r="33" spans="1:14" ht="15.75" x14ac:dyDescent="0.45">
      <c r="A33" s="24"/>
      <c r="B33" s="58" t="s">
        <v>44</v>
      </c>
      <c r="C33" s="62">
        <v>-2259.395</v>
      </c>
      <c r="D33" s="33"/>
      <c r="E33" s="12"/>
    </row>
    <row r="34" spans="1:14" ht="15.75" x14ac:dyDescent="0.5">
      <c r="A34" s="24"/>
      <c r="B34" s="58" t="s">
        <v>45</v>
      </c>
      <c r="C34" s="59">
        <f>C32+C33</f>
        <v>1555.0270000000005</v>
      </c>
      <c r="D34" s="33"/>
      <c r="E34" s="12"/>
    </row>
    <row r="35" spans="1:14" ht="15.75" x14ac:dyDescent="0.5">
      <c r="A35" s="24"/>
      <c r="B35" s="58" t="s">
        <v>46</v>
      </c>
      <c r="C35" s="60">
        <v>1786.6790000000001</v>
      </c>
      <c r="D35" s="33"/>
      <c r="E35" s="12"/>
    </row>
    <row r="36" spans="1:14" ht="15.75" customHeight="1" x14ac:dyDescent="0.45">
      <c r="A36" s="24"/>
      <c r="B36" s="58" t="s">
        <v>47</v>
      </c>
      <c r="C36" s="61">
        <f>C34+C35</f>
        <v>3341.7060000000006</v>
      </c>
      <c r="D36" s="68" t="s">
        <v>150</v>
      </c>
      <c r="E36" s="83"/>
    </row>
    <row r="37" spans="1:14" x14ac:dyDescent="0.45">
      <c r="A37" s="11"/>
      <c r="B37" s="33"/>
      <c r="C37" s="33"/>
      <c r="D37" s="68"/>
      <c r="E37" s="83"/>
    </row>
    <row r="38" spans="1:14" x14ac:dyDescent="0.45">
      <c r="A38" s="11"/>
      <c r="B38" s="33"/>
      <c r="C38" s="33"/>
      <c r="D38" s="68"/>
      <c r="E38" s="83"/>
    </row>
    <row r="39" spans="1:14" ht="14.25" customHeight="1" x14ac:dyDescent="0.45">
      <c r="A39" s="11"/>
      <c r="B39" s="33"/>
      <c r="C39" s="33"/>
      <c r="D39" s="68"/>
      <c r="E39" s="83"/>
      <c r="F39" s="5"/>
    </row>
    <row r="40" spans="1:14" ht="14.25" customHeight="1" x14ac:dyDescent="0.45">
      <c r="A40" s="11"/>
      <c r="B40" s="33"/>
      <c r="C40" s="33"/>
      <c r="D40" s="85" t="s">
        <v>128</v>
      </c>
      <c r="E40" s="86"/>
      <c r="F40" s="5"/>
    </row>
    <row r="41" spans="1:14" x14ac:dyDescent="0.45">
      <c r="A41" s="11"/>
      <c r="B41" s="33"/>
      <c r="C41" s="33"/>
      <c r="D41" s="85"/>
      <c r="E41" s="86"/>
      <c r="F41" s="5"/>
    </row>
    <row r="42" spans="1:14" x14ac:dyDescent="0.45">
      <c r="A42" s="11"/>
      <c r="B42" s="33"/>
      <c r="C42" s="33"/>
      <c r="D42" s="85"/>
      <c r="E42" s="86"/>
      <c r="F42" s="5"/>
    </row>
    <row r="43" spans="1:14" ht="14.65" thickBot="1" x14ac:dyDescent="0.5">
      <c r="A43" s="18"/>
      <c r="B43" s="19"/>
      <c r="C43" s="19"/>
      <c r="D43" s="87"/>
      <c r="E43" s="88"/>
      <c r="F43" s="5"/>
    </row>
    <row r="44" spans="1:14" x14ac:dyDescent="0.45">
      <c r="A44" s="33"/>
      <c r="B44" s="33"/>
      <c r="C44" s="33"/>
      <c r="D44" s="36"/>
      <c r="E44" s="36"/>
    </row>
    <row r="45" spans="1:14" x14ac:dyDescent="0.45">
      <c r="A45" s="33"/>
      <c r="B45" s="33"/>
      <c r="C45" s="33"/>
      <c r="D45" s="36"/>
      <c r="E45" s="36"/>
    </row>
    <row r="46" spans="1:14" x14ac:dyDescent="0.45">
      <c r="A46" s="63" t="s">
        <v>151</v>
      </c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</row>
    <row r="47" spans="1:14" ht="14.65" thickBot="1" x14ac:dyDescent="0.5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</row>
    <row r="48" spans="1:14" x14ac:dyDescent="0.45">
      <c r="A48" s="10"/>
      <c r="B48" s="29" t="s">
        <v>53</v>
      </c>
      <c r="C48" s="25"/>
      <c r="D48" s="25"/>
      <c r="E48" s="26"/>
      <c r="G48" s="29" t="s">
        <v>53</v>
      </c>
      <c r="H48" s="25"/>
      <c r="I48" s="25"/>
      <c r="J48" s="25"/>
      <c r="K48" s="25"/>
      <c r="L48" s="25"/>
      <c r="M48" s="25"/>
      <c r="N48" s="26"/>
    </row>
    <row r="49" spans="1:14" x14ac:dyDescent="0.45">
      <c r="A49" s="11"/>
      <c r="B49" s="30" t="s">
        <v>32</v>
      </c>
      <c r="C49" s="31"/>
      <c r="D49" s="31"/>
      <c r="E49" s="27"/>
      <c r="G49" s="30" t="s">
        <v>149</v>
      </c>
      <c r="H49" s="31"/>
      <c r="I49" s="31"/>
      <c r="J49" s="31"/>
      <c r="K49" s="31"/>
      <c r="L49" s="31"/>
      <c r="M49" s="31"/>
      <c r="N49" s="27"/>
    </row>
    <row r="50" spans="1:14" x14ac:dyDescent="0.45">
      <c r="A50" s="24" t="s">
        <v>55</v>
      </c>
      <c r="B50" s="70" t="s">
        <v>33</v>
      </c>
      <c r="C50" s="38">
        <v>731.43</v>
      </c>
      <c r="D50" s="33"/>
      <c r="E50" s="12"/>
      <c r="G50" s="11"/>
      <c r="H50" s="32" t="s">
        <v>143</v>
      </c>
      <c r="I50" s="32" t="s">
        <v>142</v>
      </c>
      <c r="J50" s="32" t="s">
        <v>144</v>
      </c>
      <c r="K50" s="32" t="s">
        <v>145</v>
      </c>
      <c r="L50" s="32" t="s">
        <v>146</v>
      </c>
      <c r="M50" s="32" t="s">
        <v>147</v>
      </c>
      <c r="N50" s="13" t="s">
        <v>54</v>
      </c>
    </row>
    <row r="51" spans="1:14" x14ac:dyDescent="0.45">
      <c r="A51" s="24"/>
      <c r="B51" s="70" t="s">
        <v>34</v>
      </c>
      <c r="C51" s="38">
        <v>335.31</v>
      </c>
      <c r="D51" s="32" t="s">
        <v>35</v>
      </c>
      <c r="E51" s="13" t="s">
        <v>36</v>
      </c>
      <c r="G51" s="11" t="s">
        <v>130</v>
      </c>
      <c r="H51" s="33">
        <v>28.48</v>
      </c>
      <c r="I51" s="33">
        <v>62.12</v>
      </c>
      <c r="J51" s="33">
        <v>13.33</v>
      </c>
      <c r="K51" s="33">
        <v>0.35</v>
      </c>
      <c r="L51" s="33">
        <v>397.22</v>
      </c>
      <c r="M51" s="33">
        <v>0</v>
      </c>
      <c r="N51" s="12">
        <v>290.56</v>
      </c>
    </row>
    <row r="52" spans="1:14" ht="14.65" thickBot="1" x14ac:dyDescent="0.5">
      <c r="A52" s="24" t="s">
        <v>28</v>
      </c>
      <c r="B52" s="71" t="s">
        <v>61</v>
      </c>
      <c r="C52" s="40">
        <f>676.96+475.57+458.88</f>
        <v>1611.4099999999999</v>
      </c>
      <c r="D52" s="41"/>
      <c r="E52" s="14"/>
      <c r="G52" s="11" t="s">
        <v>131</v>
      </c>
      <c r="H52" s="33">
        <v>25.72</v>
      </c>
      <c r="I52" s="33">
        <v>56.11</v>
      </c>
      <c r="J52" s="33">
        <v>11.55</v>
      </c>
      <c r="K52" s="33">
        <v>0.25</v>
      </c>
      <c r="L52" s="33">
        <v>275.73</v>
      </c>
      <c r="M52" s="33">
        <v>0</v>
      </c>
      <c r="N52" s="12">
        <v>262.81</v>
      </c>
    </row>
    <row r="53" spans="1:14" ht="14.65" thickBot="1" x14ac:dyDescent="0.5">
      <c r="A53" s="24"/>
      <c r="B53" s="71" t="s">
        <v>37</v>
      </c>
      <c r="C53" s="7">
        <v>1453.5</v>
      </c>
      <c r="D53" s="41">
        <f>C53/$C$2</f>
        <v>19.802452316076298</v>
      </c>
      <c r="E53" s="14">
        <f>C53/$C$3</f>
        <v>31.024546424759873</v>
      </c>
      <c r="G53" s="11" t="s">
        <v>132</v>
      </c>
      <c r="H53" s="33">
        <v>28.48</v>
      </c>
      <c r="I53" s="33">
        <v>62.12</v>
      </c>
      <c r="J53" s="33">
        <v>9.27</v>
      </c>
      <c r="K53" s="33">
        <v>0.18</v>
      </c>
      <c r="L53" s="33">
        <v>174.28</v>
      </c>
      <c r="M53" s="33">
        <v>0</v>
      </c>
      <c r="N53" s="12">
        <v>284.68</v>
      </c>
    </row>
    <row r="54" spans="1:14" x14ac:dyDescent="0.45">
      <c r="A54" s="24"/>
      <c r="B54" s="71" t="s">
        <v>56</v>
      </c>
      <c r="C54" s="40">
        <v>529.23</v>
      </c>
      <c r="D54" s="41"/>
      <c r="E54" s="14"/>
      <c r="G54" s="11" t="s">
        <v>133</v>
      </c>
      <c r="H54" s="33">
        <v>27.56</v>
      </c>
      <c r="I54" s="33">
        <v>60.12</v>
      </c>
      <c r="J54" s="33">
        <v>8.16</v>
      </c>
      <c r="K54" s="33">
        <v>0.22</v>
      </c>
      <c r="L54" s="33">
        <v>113.63</v>
      </c>
      <c r="M54" s="33">
        <v>3.77</v>
      </c>
      <c r="N54" s="12">
        <v>264.25</v>
      </c>
    </row>
    <row r="55" spans="1:14" x14ac:dyDescent="0.45">
      <c r="A55" s="24"/>
      <c r="B55" s="71" t="s">
        <v>57</v>
      </c>
      <c r="C55" s="40">
        <v>436.22</v>
      </c>
      <c r="D55" s="41"/>
      <c r="E55" s="14"/>
      <c r="G55" s="11" t="s">
        <v>134</v>
      </c>
      <c r="H55" s="33">
        <v>28.48</v>
      </c>
      <c r="I55" s="33">
        <v>62.12</v>
      </c>
      <c r="J55" s="33">
        <v>5.38</v>
      </c>
      <c r="K55" s="33">
        <v>0.33</v>
      </c>
      <c r="L55" s="33">
        <v>23.56</v>
      </c>
      <c r="M55" s="33">
        <v>10.220000000000001</v>
      </c>
      <c r="N55" s="12">
        <v>259.25</v>
      </c>
    </row>
    <row r="56" spans="1:14" x14ac:dyDescent="0.45">
      <c r="A56" s="24"/>
      <c r="B56" s="71" t="s">
        <v>58</v>
      </c>
      <c r="C56" s="40">
        <v>368.2</v>
      </c>
      <c r="D56" s="41"/>
      <c r="E56" s="14"/>
      <c r="G56" s="11" t="s">
        <v>135</v>
      </c>
      <c r="H56" s="33">
        <v>27.56</v>
      </c>
      <c r="I56" s="33">
        <v>60.12</v>
      </c>
      <c r="J56" s="33">
        <v>4.82</v>
      </c>
      <c r="K56" s="33">
        <v>0.89</v>
      </c>
      <c r="L56" s="33">
        <v>0</v>
      </c>
      <c r="M56" s="33">
        <v>35.71</v>
      </c>
      <c r="N56" s="12">
        <v>238.98</v>
      </c>
    </row>
    <row r="57" spans="1:14" ht="14.65" thickBot="1" x14ac:dyDescent="0.5">
      <c r="A57" s="24"/>
      <c r="B57" s="72" t="s">
        <v>62</v>
      </c>
      <c r="C57" s="43">
        <f>396.34+183.16+147.5</f>
        <v>727</v>
      </c>
      <c r="D57" s="44"/>
      <c r="E57" s="15"/>
      <c r="G57" s="11" t="s">
        <v>136</v>
      </c>
      <c r="H57" s="33">
        <v>28.48</v>
      </c>
      <c r="I57" s="33">
        <v>62.12</v>
      </c>
      <c r="J57" s="33">
        <v>8</v>
      </c>
      <c r="K57" s="33">
        <v>1.88</v>
      </c>
      <c r="L57" s="33">
        <v>0</v>
      </c>
      <c r="M57" s="33">
        <v>88.27</v>
      </c>
      <c r="N57" s="12">
        <v>239.55</v>
      </c>
    </row>
    <row r="58" spans="1:14" ht="14.65" thickBot="1" x14ac:dyDescent="0.5">
      <c r="A58" s="24"/>
      <c r="B58" s="72" t="s">
        <v>38</v>
      </c>
      <c r="C58" s="8">
        <v>320.85000000000002</v>
      </c>
      <c r="D58" s="44">
        <f>C58/$C$2</f>
        <v>4.3712534059945511</v>
      </c>
      <c r="E58" s="15">
        <f>C58/$C$3</f>
        <v>6.8484525080042689</v>
      </c>
      <c r="G58" s="11" t="s">
        <v>137</v>
      </c>
      <c r="H58" s="33">
        <v>28.48</v>
      </c>
      <c r="I58" s="33">
        <v>62.12</v>
      </c>
      <c r="J58" s="33">
        <v>8.3800000000000008</v>
      </c>
      <c r="K58" s="33">
        <v>1.95</v>
      </c>
      <c r="L58" s="33">
        <v>0</v>
      </c>
      <c r="M58" s="33">
        <v>94.45</v>
      </c>
      <c r="N58" s="12">
        <v>239</v>
      </c>
    </row>
    <row r="59" spans="1:14" x14ac:dyDescent="0.45">
      <c r="A59" s="24"/>
      <c r="B59" s="72" t="s">
        <v>59</v>
      </c>
      <c r="C59" s="43">
        <v>2.41</v>
      </c>
      <c r="D59" s="43"/>
      <c r="E59" s="15"/>
      <c r="G59" s="11" t="s">
        <v>138</v>
      </c>
      <c r="H59" s="33">
        <v>27.56</v>
      </c>
      <c r="I59" s="33">
        <v>60.12</v>
      </c>
      <c r="J59" s="33">
        <v>7.02</v>
      </c>
      <c r="K59" s="33">
        <v>1.71</v>
      </c>
      <c r="L59" s="33">
        <v>0</v>
      </c>
      <c r="M59" s="33">
        <v>72.78</v>
      </c>
      <c r="N59" s="12">
        <v>237.6</v>
      </c>
    </row>
    <row r="60" spans="1:14" x14ac:dyDescent="0.45">
      <c r="A60" s="24"/>
      <c r="B60" s="72" t="s">
        <v>64</v>
      </c>
      <c r="C60" s="43">
        <v>1.06</v>
      </c>
      <c r="D60" s="43"/>
      <c r="E60" s="15"/>
      <c r="G60" s="11" t="s">
        <v>139</v>
      </c>
      <c r="H60" s="33">
        <v>28.48</v>
      </c>
      <c r="I60" s="33">
        <v>62.12</v>
      </c>
      <c r="J60" s="33">
        <v>3.91</v>
      </c>
      <c r="K60" s="33">
        <v>0.5</v>
      </c>
      <c r="L60" s="33">
        <v>1.28</v>
      </c>
      <c r="M60" s="33">
        <v>15.47</v>
      </c>
      <c r="N60" s="12">
        <v>257.3</v>
      </c>
    </row>
    <row r="61" spans="1:14" ht="14.65" thickBot="1" x14ac:dyDescent="0.5">
      <c r="A61" s="24"/>
      <c r="B61" s="72" t="s">
        <v>60</v>
      </c>
      <c r="C61" s="43">
        <v>4.05</v>
      </c>
      <c r="D61" s="43"/>
      <c r="E61" s="15"/>
      <c r="G61" s="11" t="s">
        <v>140</v>
      </c>
      <c r="H61" s="33">
        <v>27.56</v>
      </c>
      <c r="I61" s="33">
        <v>60.12</v>
      </c>
      <c r="J61" s="33">
        <v>9.85</v>
      </c>
      <c r="K61" s="33">
        <v>0.19</v>
      </c>
      <c r="L61" s="33">
        <v>179.86</v>
      </c>
      <c r="M61" s="33">
        <v>0.18</v>
      </c>
      <c r="N61" s="12">
        <v>262.37</v>
      </c>
    </row>
    <row r="62" spans="1:14" ht="14.65" thickBot="1" x14ac:dyDescent="0.5">
      <c r="A62" s="24"/>
      <c r="B62" s="73" t="s">
        <v>50</v>
      </c>
      <c r="C62" s="21">
        <f>102.49-19.95</f>
        <v>82.539999999999992</v>
      </c>
      <c r="D62" s="46"/>
      <c r="E62" s="74"/>
      <c r="G62" s="11" t="s">
        <v>141</v>
      </c>
      <c r="H62" s="33">
        <v>28.48</v>
      </c>
      <c r="I62" s="33">
        <v>62.12</v>
      </c>
      <c r="J62" s="33">
        <v>12.81</v>
      </c>
      <c r="K62" s="33">
        <v>0.26</v>
      </c>
      <c r="L62" s="33">
        <v>287.93</v>
      </c>
      <c r="M62" s="33">
        <v>0</v>
      </c>
      <c r="N62" s="12">
        <v>283.27999999999997</v>
      </c>
    </row>
    <row r="63" spans="1:14" x14ac:dyDescent="0.45">
      <c r="A63" s="24" t="s">
        <v>7</v>
      </c>
      <c r="B63" s="75" t="s">
        <v>66</v>
      </c>
      <c r="C63" s="48">
        <f>8.71*0.05</f>
        <v>0.43550000000000005</v>
      </c>
      <c r="D63" s="49"/>
      <c r="E63" s="16"/>
      <c r="G63" s="11"/>
      <c r="H63" s="33"/>
      <c r="I63" s="33"/>
      <c r="J63" s="33"/>
      <c r="K63" s="33"/>
      <c r="L63" s="33"/>
      <c r="M63" s="33"/>
      <c r="N63" s="12"/>
    </row>
    <row r="64" spans="1:14" ht="14.65" thickBot="1" x14ac:dyDescent="0.5">
      <c r="A64" s="24"/>
      <c r="B64" s="76" t="s">
        <v>63</v>
      </c>
      <c r="C64" s="51">
        <v>2363.75</v>
      </c>
      <c r="D64" s="51"/>
      <c r="E64" s="77"/>
      <c r="G64" s="18" t="s">
        <v>148</v>
      </c>
      <c r="H64" s="19">
        <v>335.31</v>
      </c>
      <c r="I64" s="19">
        <v>731.43</v>
      </c>
      <c r="J64" s="19">
        <v>102.49</v>
      </c>
      <c r="K64" s="19">
        <v>8.7100000000000009</v>
      </c>
      <c r="L64" s="19">
        <v>1453.5</v>
      </c>
      <c r="M64" s="19">
        <v>320.85000000000002</v>
      </c>
      <c r="N64" s="34">
        <v>3119.62</v>
      </c>
    </row>
    <row r="65" spans="1:6" ht="14.65" thickBot="1" x14ac:dyDescent="0.5">
      <c r="A65" s="24"/>
      <c r="B65" s="78" t="s">
        <v>54</v>
      </c>
      <c r="C65" s="9">
        <v>3119.62</v>
      </c>
      <c r="D65" s="53"/>
      <c r="E65" s="79"/>
    </row>
    <row r="66" spans="1:6" x14ac:dyDescent="0.45">
      <c r="A66" s="24"/>
      <c r="B66" s="76" t="s">
        <v>39</v>
      </c>
      <c r="C66" s="51"/>
      <c r="D66" s="51"/>
      <c r="E66" s="79"/>
    </row>
    <row r="67" spans="1:6" x14ac:dyDescent="0.45">
      <c r="A67" s="11"/>
      <c r="B67" s="80" t="s">
        <v>51</v>
      </c>
      <c r="C67" s="55">
        <f>C50+C51+C53+C58+C62+C63</f>
        <v>2924.0654999999997</v>
      </c>
      <c r="D67" s="56"/>
      <c r="E67" s="35"/>
    </row>
    <row r="68" spans="1:6" x14ac:dyDescent="0.45">
      <c r="A68" s="11"/>
      <c r="B68" s="80" t="s">
        <v>65</v>
      </c>
      <c r="C68" s="57">
        <f>C65</f>
        <v>3119.62</v>
      </c>
      <c r="D68" s="56"/>
      <c r="E68" s="35"/>
    </row>
    <row r="69" spans="1:6" x14ac:dyDescent="0.45">
      <c r="A69" s="11"/>
      <c r="B69" s="11"/>
      <c r="C69" s="33"/>
      <c r="D69" s="33"/>
      <c r="E69" s="12"/>
    </row>
    <row r="70" spans="1:6" ht="15.75" x14ac:dyDescent="0.5">
      <c r="A70" s="24" t="s">
        <v>52</v>
      </c>
      <c r="B70" s="81" t="s">
        <v>40</v>
      </c>
      <c r="C70" s="59">
        <v>4060.7040000000002</v>
      </c>
      <c r="D70" s="33"/>
      <c r="E70" s="12"/>
    </row>
    <row r="71" spans="1:6" ht="15.75" x14ac:dyDescent="0.5">
      <c r="A71" s="24"/>
      <c r="B71" s="81" t="s">
        <v>41</v>
      </c>
      <c r="C71" s="60">
        <v>-138.08000000000001</v>
      </c>
      <c r="D71" s="33"/>
      <c r="E71" s="12"/>
    </row>
    <row r="72" spans="1:6" ht="15.75" x14ac:dyDescent="0.5">
      <c r="A72" s="24"/>
      <c r="B72" s="81" t="s">
        <v>42</v>
      </c>
      <c r="C72" s="60">
        <v>-117.68</v>
      </c>
      <c r="D72" s="33"/>
      <c r="E72" s="82"/>
    </row>
    <row r="73" spans="1:6" ht="15.75" x14ac:dyDescent="0.45">
      <c r="A73" s="24"/>
      <c r="B73" s="81" t="s">
        <v>43</v>
      </c>
      <c r="C73" s="61">
        <f>C70+C71+C72</f>
        <v>3804.9440000000004</v>
      </c>
      <c r="D73" s="33"/>
      <c r="E73" s="12"/>
    </row>
    <row r="74" spans="1:6" ht="15.75" x14ac:dyDescent="0.45">
      <c r="A74" s="24"/>
      <c r="B74" s="81" t="s">
        <v>44</v>
      </c>
      <c r="C74" s="62">
        <v>-2165.4050000000002</v>
      </c>
      <c r="D74" s="33"/>
      <c r="E74" s="12"/>
    </row>
    <row r="75" spans="1:6" ht="15.75" x14ac:dyDescent="0.5">
      <c r="A75" s="24"/>
      <c r="B75" s="81" t="s">
        <v>45</v>
      </c>
      <c r="C75" s="59">
        <f>C73+C74</f>
        <v>1639.5390000000002</v>
      </c>
      <c r="D75" s="33"/>
      <c r="E75" s="12"/>
    </row>
    <row r="76" spans="1:6" ht="15.75" x14ac:dyDescent="0.5">
      <c r="A76" s="24"/>
      <c r="B76" s="81" t="s">
        <v>46</v>
      </c>
      <c r="C76" s="60">
        <v>1312.748</v>
      </c>
      <c r="D76" s="33"/>
      <c r="E76" s="12"/>
    </row>
    <row r="77" spans="1:6" ht="15.75" customHeight="1" x14ac:dyDescent="0.45">
      <c r="A77" s="24"/>
      <c r="B77" s="81" t="s">
        <v>47</v>
      </c>
      <c r="C77" s="61">
        <f>C75+C76</f>
        <v>2952.2870000000003</v>
      </c>
      <c r="D77" s="68" t="s">
        <v>158</v>
      </c>
      <c r="E77" s="83"/>
    </row>
    <row r="78" spans="1:6" x14ac:dyDescent="0.45">
      <c r="A78" s="11"/>
      <c r="B78" s="11"/>
      <c r="C78" s="33"/>
      <c r="D78" s="68"/>
      <c r="E78" s="83"/>
    </row>
    <row r="79" spans="1:6" x14ac:dyDescent="0.45">
      <c r="A79" s="11"/>
      <c r="B79" s="11"/>
      <c r="C79" s="33"/>
      <c r="D79" s="68"/>
      <c r="E79" s="83"/>
    </row>
    <row r="80" spans="1:6" ht="14.65" thickBot="1" x14ac:dyDescent="0.5">
      <c r="A80" s="18"/>
      <c r="B80" s="18"/>
      <c r="C80" s="19"/>
      <c r="D80" s="69"/>
      <c r="E80" s="84"/>
      <c r="F80" s="5"/>
    </row>
    <row r="82" spans="1:14" x14ac:dyDescent="0.45">
      <c r="A82" s="63" t="s">
        <v>152</v>
      </c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</row>
    <row r="83" spans="1:14" ht="14.65" thickBot="1" x14ac:dyDescent="0.5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</row>
    <row r="84" spans="1:14" ht="14.65" thickBot="1" x14ac:dyDescent="0.5">
      <c r="A84" s="10"/>
      <c r="B84" s="29" t="s">
        <v>53</v>
      </c>
      <c r="C84" s="25"/>
      <c r="D84" s="25"/>
      <c r="E84" s="26"/>
      <c r="G84" s="29" t="s">
        <v>53</v>
      </c>
      <c r="H84" s="25"/>
      <c r="I84" s="25"/>
      <c r="J84" s="25"/>
      <c r="K84" s="25"/>
      <c r="L84" s="25"/>
      <c r="M84" s="25"/>
      <c r="N84" s="26"/>
    </row>
    <row r="85" spans="1:14" x14ac:dyDescent="0.45">
      <c r="A85" s="11"/>
      <c r="B85" s="30" t="s">
        <v>32</v>
      </c>
      <c r="C85" s="31"/>
      <c r="D85" s="31"/>
      <c r="E85" s="27"/>
      <c r="G85" s="64" t="s">
        <v>149</v>
      </c>
      <c r="H85" s="65"/>
      <c r="I85" s="65"/>
      <c r="J85" s="65"/>
      <c r="K85" s="65"/>
      <c r="L85" s="65"/>
      <c r="M85" s="65"/>
      <c r="N85" s="66"/>
    </row>
    <row r="86" spans="1:14" x14ac:dyDescent="0.45">
      <c r="A86" s="24" t="s">
        <v>55</v>
      </c>
      <c r="B86" s="70" t="s">
        <v>33</v>
      </c>
      <c r="C86" s="38">
        <v>731.43</v>
      </c>
      <c r="D86" s="33"/>
      <c r="E86" s="12"/>
      <c r="G86" s="11"/>
      <c r="H86" s="32" t="s">
        <v>143</v>
      </c>
      <c r="I86" s="32" t="s">
        <v>142</v>
      </c>
      <c r="J86" s="32" t="s">
        <v>144</v>
      </c>
      <c r="K86" s="32" t="s">
        <v>145</v>
      </c>
      <c r="L86" s="32" t="s">
        <v>146</v>
      </c>
      <c r="M86" s="32" t="s">
        <v>147</v>
      </c>
      <c r="N86" s="13" t="s">
        <v>54</v>
      </c>
    </row>
    <row r="87" spans="1:14" x14ac:dyDescent="0.45">
      <c r="A87" s="24"/>
      <c r="B87" s="70" t="s">
        <v>34</v>
      </c>
      <c r="C87" s="38">
        <v>335.31</v>
      </c>
      <c r="D87" s="32" t="s">
        <v>35</v>
      </c>
      <c r="E87" s="13" t="s">
        <v>36</v>
      </c>
      <c r="G87" s="11" t="s">
        <v>130</v>
      </c>
      <c r="H87" s="33">
        <v>28.48</v>
      </c>
      <c r="I87" s="33">
        <v>62.12</v>
      </c>
      <c r="J87" s="33">
        <v>13.25</v>
      </c>
      <c r="K87" s="33">
        <v>0.34</v>
      </c>
      <c r="L87" s="33">
        <v>381.73</v>
      </c>
      <c r="M87" s="33">
        <v>0</v>
      </c>
      <c r="N87" s="12">
        <v>289.27999999999997</v>
      </c>
    </row>
    <row r="88" spans="1:14" ht="14.65" thickBot="1" x14ac:dyDescent="0.5">
      <c r="A88" s="24" t="s">
        <v>28</v>
      </c>
      <c r="B88" s="71" t="s">
        <v>61</v>
      </c>
      <c r="C88" s="41">
        <f>645.22+451.78+435.45</f>
        <v>1532.45</v>
      </c>
      <c r="D88" s="41"/>
      <c r="E88" s="14"/>
      <c r="G88" s="11" t="s">
        <v>131</v>
      </c>
      <c r="H88" s="33">
        <v>25.72</v>
      </c>
      <c r="I88" s="33">
        <v>56.11</v>
      </c>
      <c r="J88" s="33">
        <v>11.26</v>
      </c>
      <c r="K88" s="33">
        <v>0.24</v>
      </c>
      <c r="L88" s="33">
        <v>261.04000000000002</v>
      </c>
      <c r="M88" s="33">
        <v>0</v>
      </c>
      <c r="N88" s="12">
        <v>261.56</v>
      </c>
    </row>
    <row r="89" spans="1:14" ht="14.65" thickBot="1" x14ac:dyDescent="0.5">
      <c r="A89" s="24"/>
      <c r="B89" s="71" t="s">
        <v>37</v>
      </c>
      <c r="C89" s="7">
        <v>1380.72</v>
      </c>
      <c r="D89" s="41">
        <f>C89/$C$2</f>
        <v>18.810899182561311</v>
      </c>
      <c r="E89" s="14">
        <f>C89/$C$3</f>
        <v>29.471077908217715</v>
      </c>
      <c r="G89" s="11" t="s">
        <v>132</v>
      </c>
      <c r="H89" s="33">
        <v>28.48</v>
      </c>
      <c r="I89" s="33">
        <v>62.12</v>
      </c>
      <c r="J89" s="33">
        <v>9.2899999999999991</v>
      </c>
      <c r="K89" s="33">
        <v>0.17</v>
      </c>
      <c r="L89" s="33">
        <v>172.76</v>
      </c>
      <c r="M89" s="33">
        <v>0</v>
      </c>
      <c r="N89" s="12">
        <v>283.18</v>
      </c>
    </row>
    <row r="90" spans="1:14" x14ac:dyDescent="0.45">
      <c r="A90" s="24"/>
      <c r="B90" s="71" t="s">
        <v>56</v>
      </c>
      <c r="C90" s="40">
        <v>501.86</v>
      </c>
      <c r="D90" s="41"/>
      <c r="E90" s="14"/>
      <c r="G90" s="11" t="s">
        <v>133</v>
      </c>
      <c r="H90" s="33">
        <v>27.56</v>
      </c>
      <c r="I90" s="33">
        <v>60.12</v>
      </c>
      <c r="J90" s="33">
        <v>8.0299999999999994</v>
      </c>
      <c r="K90" s="33">
        <v>0.23</v>
      </c>
      <c r="L90" s="33">
        <v>108.15</v>
      </c>
      <c r="M90" s="33">
        <v>4.07</v>
      </c>
      <c r="N90" s="12">
        <v>262.70999999999998</v>
      </c>
    </row>
    <row r="91" spans="1:14" x14ac:dyDescent="0.45">
      <c r="A91" s="24"/>
      <c r="B91" s="71" t="s">
        <v>57</v>
      </c>
      <c r="C91" s="40">
        <v>413.21</v>
      </c>
      <c r="D91" s="41"/>
      <c r="E91" s="14"/>
      <c r="G91" s="11" t="s">
        <v>134</v>
      </c>
      <c r="H91" s="33">
        <v>28.48</v>
      </c>
      <c r="I91" s="33">
        <v>62.12</v>
      </c>
      <c r="J91" s="33">
        <v>5.36</v>
      </c>
      <c r="K91" s="33">
        <v>0.39</v>
      </c>
      <c r="L91" s="33">
        <v>19.79</v>
      </c>
      <c r="M91" s="33">
        <v>12.8</v>
      </c>
      <c r="N91" s="12">
        <v>257.58</v>
      </c>
    </row>
    <row r="92" spans="1:14" x14ac:dyDescent="0.45">
      <c r="A92" s="24"/>
      <c r="B92" s="71" t="s">
        <v>58</v>
      </c>
      <c r="C92" s="40">
        <v>348</v>
      </c>
      <c r="D92" s="41"/>
      <c r="E92" s="14"/>
      <c r="G92" s="11" t="s">
        <v>135</v>
      </c>
      <c r="H92" s="33">
        <v>27.56</v>
      </c>
      <c r="I92" s="33">
        <v>60.12</v>
      </c>
      <c r="J92" s="33">
        <v>5.14</v>
      </c>
      <c r="K92" s="33">
        <v>1.01</v>
      </c>
      <c r="L92" s="33">
        <v>0</v>
      </c>
      <c r="M92" s="33">
        <v>41.2</v>
      </c>
      <c r="N92" s="12">
        <v>237.33</v>
      </c>
    </row>
    <row r="93" spans="1:14" ht="14.65" thickBot="1" x14ac:dyDescent="0.5">
      <c r="A93" s="24"/>
      <c r="B93" s="72" t="s">
        <v>62</v>
      </c>
      <c r="C93" s="44">
        <f>431.68+203.25+166.65</f>
        <v>801.58</v>
      </c>
      <c r="D93" s="44"/>
      <c r="E93" s="15"/>
      <c r="G93" s="11" t="s">
        <v>136</v>
      </c>
      <c r="H93" s="33">
        <v>28.48</v>
      </c>
      <c r="I93" s="33">
        <v>62.12</v>
      </c>
      <c r="J93" s="33">
        <v>8.3800000000000008</v>
      </c>
      <c r="K93" s="33">
        <v>1.98</v>
      </c>
      <c r="L93" s="33">
        <v>0</v>
      </c>
      <c r="M93" s="33">
        <v>94.68</v>
      </c>
      <c r="N93" s="12">
        <v>237.84</v>
      </c>
    </row>
    <row r="94" spans="1:14" ht="14.65" thickBot="1" x14ac:dyDescent="0.5">
      <c r="A94" s="24"/>
      <c r="B94" s="72" t="s">
        <v>38</v>
      </c>
      <c r="C94" s="8">
        <v>351.75</v>
      </c>
      <c r="D94" s="44">
        <f>C94/$C$2</f>
        <v>4.7922343324250685</v>
      </c>
      <c r="E94" s="15">
        <f>C94/$C$3</f>
        <v>7.5080042689434361</v>
      </c>
      <c r="G94" s="11" t="s">
        <v>137</v>
      </c>
      <c r="H94" s="33">
        <v>28.48</v>
      </c>
      <c r="I94" s="33">
        <v>62.12</v>
      </c>
      <c r="J94" s="33">
        <v>8.7799999999999994</v>
      </c>
      <c r="K94" s="33">
        <v>2.0499999999999998</v>
      </c>
      <c r="L94" s="33">
        <v>0</v>
      </c>
      <c r="M94" s="33">
        <v>100.9</v>
      </c>
      <c r="N94" s="12">
        <v>237.39</v>
      </c>
    </row>
    <row r="95" spans="1:14" x14ac:dyDescent="0.45">
      <c r="A95" s="24"/>
      <c r="B95" s="72" t="s">
        <v>59</v>
      </c>
      <c r="C95" s="43">
        <v>2.72</v>
      </c>
      <c r="D95" s="43"/>
      <c r="E95" s="15"/>
      <c r="G95" s="11" t="s">
        <v>138</v>
      </c>
      <c r="H95" s="33">
        <v>27.56</v>
      </c>
      <c r="I95" s="33">
        <v>60.12</v>
      </c>
      <c r="J95" s="33">
        <v>7.38</v>
      </c>
      <c r="K95" s="33">
        <v>1.83</v>
      </c>
      <c r="L95" s="33">
        <v>0</v>
      </c>
      <c r="M95" s="33">
        <v>79.23</v>
      </c>
      <c r="N95" s="12">
        <v>236.14</v>
      </c>
    </row>
    <row r="96" spans="1:14" x14ac:dyDescent="0.45">
      <c r="A96" s="24"/>
      <c r="B96" s="72" t="s">
        <v>64</v>
      </c>
      <c r="C96" s="43">
        <v>1.28</v>
      </c>
      <c r="D96" s="43"/>
      <c r="E96" s="15"/>
      <c r="G96" s="11" t="s">
        <v>139</v>
      </c>
      <c r="H96" s="33">
        <v>28.48</v>
      </c>
      <c r="I96" s="33">
        <v>62.12</v>
      </c>
      <c r="J96" s="33">
        <v>4.08</v>
      </c>
      <c r="K96" s="33">
        <v>0.56999999999999995</v>
      </c>
      <c r="L96" s="33">
        <v>1.05</v>
      </c>
      <c r="M96" s="33">
        <v>18.45</v>
      </c>
      <c r="N96" s="12">
        <v>255.94</v>
      </c>
    </row>
    <row r="97" spans="1:14" ht="14.65" thickBot="1" x14ac:dyDescent="0.5">
      <c r="A97" s="24"/>
      <c r="B97" s="72" t="s">
        <v>60</v>
      </c>
      <c r="C97" s="43">
        <v>4.55</v>
      </c>
      <c r="D97" s="43"/>
      <c r="E97" s="15"/>
      <c r="G97" s="11" t="s">
        <v>140</v>
      </c>
      <c r="H97" s="33">
        <v>27.56</v>
      </c>
      <c r="I97" s="33">
        <v>60.12</v>
      </c>
      <c r="J97" s="33">
        <v>9.65</v>
      </c>
      <c r="K97" s="33">
        <v>0.18</v>
      </c>
      <c r="L97" s="33">
        <v>167.9</v>
      </c>
      <c r="M97" s="33">
        <v>0.43</v>
      </c>
      <c r="N97" s="12">
        <v>261.14</v>
      </c>
    </row>
    <row r="98" spans="1:14" ht="14.65" thickBot="1" x14ac:dyDescent="0.5">
      <c r="A98" s="24"/>
      <c r="B98" s="73" t="s">
        <v>50</v>
      </c>
      <c r="C98" s="21">
        <f>103.3-20.95</f>
        <v>82.35</v>
      </c>
      <c r="D98" s="46"/>
      <c r="E98" s="74"/>
      <c r="G98" s="11" t="s">
        <v>141</v>
      </c>
      <c r="H98" s="33">
        <v>28.48</v>
      </c>
      <c r="I98" s="33">
        <v>62.12</v>
      </c>
      <c r="J98" s="33">
        <v>12.7</v>
      </c>
      <c r="K98" s="33">
        <v>0.25</v>
      </c>
      <c r="L98" s="33">
        <v>268.31</v>
      </c>
      <c r="M98" s="33">
        <v>0</v>
      </c>
      <c r="N98" s="12">
        <v>282.02</v>
      </c>
    </row>
    <row r="99" spans="1:14" x14ac:dyDescent="0.45">
      <c r="A99" s="24" t="s">
        <v>7</v>
      </c>
      <c r="B99" s="75" t="s">
        <v>66</v>
      </c>
      <c r="C99" s="48">
        <f>9.25*0.05</f>
        <v>0.46250000000000002</v>
      </c>
      <c r="D99" s="49"/>
      <c r="E99" s="16"/>
      <c r="G99" s="11"/>
      <c r="H99" s="33"/>
      <c r="I99" s="33"/>
      <c r="J99" s="33"/>
      <c r="K99" s="33"/>
      <c r="L99" s="33"/>
      <c r="M99" s="33"/>
      <c r="N99" s="12"/>
    </row>
    <row r="100" spans="1:14" ht="14.65" thickBot="1" x14ac:dyDescent="0.5">
      <c r="A100" s="24"/>
      <c r="B100" s="76" t="s">
        <v>63</v>
      </c>
      <c r="C100" s="51">
        <v>2350.09</v>
      </c>
      <c r="D100" s="51"/>
      <c r="E100" s="77"/>
      <c r="G100" s="18" t="s">
        <v>148</v>
      </c>
      <c r="H100" s="19">
        <v>335.31</v>
      </c>
      <c r="I100" s="19">
        <v>731.43</v>
      </c>
      <c r="J100" s="19">
        <v>103.3</v>
      </c>
      <c r="K100" s="19">
        <v>9.25</v>
      </c>
      <c r="L100" s="19">
        <v>1380.72</v>
      </c>
      <c r="M100" s="19">
        <v>351.75</v>
      </c>
      <c r="N100" s="34">
        <v>3102.1</v>
      </c>
    </row>
    <row r="101" spans="1:14" ht="14.65" thickBot="1" x14ac:dyDescent="0.5">
      <c r="A101" s="24"/>
      <c r="B101" s="78" t="s">
        <v>54</v>
      </c>
      <c r="C101" s="9">
        <v>3102.1</v>
      </c>
      <c r="D101" s="53"/>
      <c r="E101" s="79"/>
    </row>
    <row r="102" spans="1:14" x14ac:dyDescent="0.45">
      <c r="A102" s="24"/>
      <c r="B102" s="76" t="s">
        <v>39</v>
      </c>
      <c r="C102" s="51"/>
      <c r="D102" s="51"/>
      <c r="E102" s="79"/>
    </row>
    <row r="103" spans="1:14" x14ac:dyDescent="0.45">
      <c r="A103" s="11"/>
      <c r="B103" s="80" t="s">
        <v>51</v>
      </c>
      <c r="C103" s="55">
        <f>C86+C87+C89+C94+C98+C99</f>
        <v>2882.0225</v>
      </c>
      <c r="D103" s="56"/>
      <c r="E103" s="35"/>
    </row>
    <row r="104" spans="1:14" x14ac:dyDescent="0.45">
      <c r="A104" s="11"/>
      <c r="B104" s="80" t="s">
        <v>65</v>
      </c>
      <c r="C104" s="57">
        <f>C101</f>
        <v>3102.1</v>
      </c>
      <c r="D104" s="56"/>
      <c r="E104" s="35"/>
    </row>
    <row r="105" spans="1:14" x14ac:dyDescent="0.45">
      <c r="A105" s="11"/>
      <c r="B105" s="11"/>
      <c r="C105" s="33"/>
      <c r="D105" s="33"/>
      <c r="E105" s="12"/>
    </row>
    <row r="106" spans="1:14" ht="15.75" x14ac:dyDescent="0.5">
      <c r="A106" s="24" t="s">
        <v>52</v>
      </c>
      <c r="B106" s="81" t="s">
        <v>40</v>
      </c>
      <c r="C106" s="59">
        <v>4055.7890000000002</v>
      </c>
      <c r="D106" s="33"/>
      <c r="E106" s="12"/>
    </row>
    <row r="107" spans="1:14" ht="15.75" x14ac:dyDescent="0.5">
      <c r="A107" s="24"/>
      <c r="B107" s="81" t="s">
        <v>41</v>
      </c>
      <c r="C107" s="60">
        <v>-139.57</v>
      </c>
      <c r="D107" s="33"/>
      <c r="E107" s="12"/>
    </row>
    <row r="108" spans="1:14" ht="15.75" x14ac:dyDescent="0.5">
      <c r="A108" s="24"/>
      <c r="B108" s="81" t="s">
        <v>42</v>
      </c>
      <c r="C108" s="60">
        <v>-117.49</v>
      </c>
      <c r="D108" s="33"/>
      <c r="E108" s="82"/>
    </row>
    <row r="109" spans="1:14" ht="15.75" x14ac:dyDescent="0.45">
      <c r="A109" s="24"/>
      <c r="B109" s="81" t="s">
        <v>43</v>
      </c>
      <c r="C109" s="61">
        <f>C106+C107+C108</f>
        <v>3798.7290000000003</v>
      </c>
      <c r="D109" s="33"/>
      <c r="E109" s="12"/>
    </row>
    <row r="110" spans="1:14" ht="15.75" x14ac:dyDescent="0.45">
      <c r="A110" s="24"/>
      <c r="B110" s="81" t="s">
        <v>44</v>
      </c>
      <c r="C110" s="62">
        <v>-2143.7570000000001</v>
      </c>
      <c r="D110" s="33"/>
      <c r="E110" s="12"/>
    </row>
    <row r="111" spans="1:14" ht="15.75" x14ac:dyDescent="0.5">
      <c r="A111" s="24"/>
      <c r="B111" s="81" t="s">
        <v>45</v>
      </c>
      <c r="C111" s="59">
        <f>C109+C110</f>
        <v>1654.9720000000002</v>
      </c>
      <c r="D111" s="33"/>
      <c r="E111" s="12"/>
    </row>
    <row r="112" spans="1:14" ht="15.75" x14ac:dyDescent="0.5">
      <c r="A112" s="24"/>
      <c r="B112" s="81" t="s">
        <v>46</v>
      </c>
      <c r="C112" s="60">
        <v>1256.7919999999999</v>
      </c>
      <c r="D112" s="33"/>
      <c r="E112" s="12"/>
    </row>
    <row r="113" spans="1:14" ht="15.75" customHeight="1" x14ac:dyDescent="0.45">
      <c r="A113" s="24"/>
      <c r="B113" s="81" t="s">
        <v>47</v>
      </c>
      <c r="C113" s="61">
        <f>C111+C112</f>
        <v>2911.7640000000001</v>
      </c>
      <c r="D113" s="68" t="s">
        <v>159</v>
      </c>
      <c r="E113" s="83"/>
    </row>
    <row r="114" spans="1:14" x14ac:dyDescent="0.45">
      <c r="A114" s="11"/>
      <c r="B114" s="11"/>
      <c r="C114" s="33"/>
      <c r="D114" s="68"/>
      <c r="E114" s="83"/>
    </row>
    <row r="115" spans="1:14" x14ac:dyDescent="0.45">
      <c r="A115" s="11"/>
      <c r="B115" s="11"/>
      <c r="C115" s="33"/>
      <c r="D115" s="68"/>
      <c r="E115" s="83"/>
    </row>
    <row r="116" spans="1:14" ht="14.65" thickBot="1" x14ac:dyDescent="0.5">
      <c r="A116" s="18"/>
      <c r="B116" s="18"/>
      <c r="C116" s="19"/>
      <c r="D116" s="69"/>
      <c r="E116" s="84"/>
      <c r="F116" s="5"/>
    </row>
    <row r="118" spans="1:14" x14ac:dyDescent="0.45">
      <c r="A118" s="63" t="s">
        <v>153</v>
      </c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</row>
    <row r="119" spans="1:14" ht="14.65" thickBot="1" x14ac:dyDescent="0.5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</row>
    <row r="120" spans="1:14" ht="14.65" thickBot="1" x14ac:dyDescent="0.5">
      <c r="A120" s="10"/>
      <c r="B120" s="29" t="s">
        <v>53</v>
      </c>
      <c r="C120" s="25"/>
      <c r="D120" s="25"/>
      <c r="E120" s="26"/>
      <c r="G120" s="29" t="s">
        <v>53</v>
      </c>
      <c r="H120" s="25"/>
      <c r="I120" s="25"/>
      <c r="J120" s="25"/>
      <c r="K120" s="25"/>
      <c r="L120" s="25"/>
      <c r="M120" s="25"/>
      <c r="N120" s="26"/>
    </row>
    <row r="121" spans="1:14" x14ac:dyDescent="0.45">
      <c r="A121" s="11"/>
      <c r="B121" s="30" t="s">
        <v>32</v>
      </c>
      <c r="C121" s="31"/>
      <c r="D121" s="31"/>
      <c r="E121" s="27"/>
      <c r="G121" s="64" t="s">
        <v>149</v>
      </c>
      <c r="H121" s="65"/>
      <c r="I121" s="65"/>
      <c r="J121" s="65"/>
      <c r="K121" s="65"/>
      <c r="L121" s="65"/>
      <c r="M121" s="65"/>
      <c r="N121" s="66"/>
    </row>
    <row r="122" spans="1:14" x14ac:dyDescent="0.45">
      <c r="A122" s="24" t="s">
        <v>55</v>
      </c>
      <c r="B122" s="70" t="s">
        <v>33</v>
      </c>
      <c r="C122" s="38">
        <v>731.43</v>
      </c>
      <c r="D122" s="33"/>
      <c r="E122" s="12"/>
      <c r="G122" s="11"/>
      <c r="H122" s="32" t="s">
        <v>143</v>
      </c>
      <c r="I122" s="32" t="s">
        <v>142</v>
      </c>
      <c r="J122" s="32" t="s">
        <v>144</v>
      </c>
      <c r="K122" s="32" t="s">
        <v>145</v>
      </c>
      <c r="L122" s="32" t="s">
        <v>146</v>
      </c>
      <c r="M122" s="32" t="s">
        <v>147</v>
      </c>
      <c r="N122" s="13" t="s">
        <v>54</v>
      </c>
    </row>
    <row r="123" spans="1:14" x14ac:dyDescent="0.45">
      <c r="A123" s="24"/>
      <c r="B123" s="70" t="s">
        <v>34</v>
      </c>
      <c r="C123" s="38">
        <v>335.31</v>
      </c>
      <c r="D123" s="32" t="s">
        <v>35</v>
      </c>
      <c r="E123" s="13" t="s">
        <v>36</v>
      </c>
      <c r="G123" s="11" t="s">
        <v>130</v>
      </c>
      <c r="H123" s="33">
        <v>28.48</v>
      </c>
      <c r="I123" s="33">
        <v>62.12</v>
      </c>
      <c r="J123" s="33">
        <v>12.95</v>
      </c>
      <c r="K123" s="33">
        <v>0.28999999999999998</v>
      </c>
      <c r="L123" s="33">
        <v>319.79000000000002</v>
      </c>
      <c r="M123" s="33">
        <v>0</v>
      </c>
      <c r="N123" s="12">
        <v>282.01</v>
      </c>
    </row>
    <row r="124" spans="1:14" ht="14.65" thickBot="1" x14ac:dyDescent="0.5">
      <c r="A124" s="24" t="s">
        <v>28</v>
      </c>
      <c r="B124" s="71" t="s">
        <v>61</v>
      </c>
      <c r="C124" s="41">
        <f>497.19+340.97+325.21</f>
        <v>1163.3700000000001</v>
      </c>
      <c r="D124" s="41"/>
      <c r="E124" s="14"/>
      <c r="G124" s="11" t="s">
        <v>131</v>
      </c>
      <c r="H124" s="33">
        <v>25.72</v>
      </c>
      <c r="I124" s="33">
        <v>56.11</v>
      </c>
      <c r="J124" s="33">
        <v>10.6</v>
      </c>
      <c r="K124" s="33">
        <v>0.2</v>
      </c>
      <c r="L124" s="33">
        <v>210.45</v>
      </c>
      <c r="M124" s="33">
        <v>0</v>
      </c>
      <c r="N124" s="12">
        <v>254.46</v>
      </c>
    </row>
    <row r="125" spans="1:14" ht="14.65" thickBot="1" x14ac:dyDescent="0.5">
      <c r="A125" s="24"/>
      <c r="B125" s="71" t="s">
        <v>37</v>
      </c>
      <c r="C125" s="7">
        <v>1041.54</v>
      </c>
      <c r="D125" s="41">
        <f>C125/$C$2</f>
        <v>14.189918256130792</v>
      </c>
      <c r="E125" s="14">
        <f>C125/$C$3</f>
        <v>22.231376734258269</v>
      </c>
      <c r="G125" s="11" t="s">
        <v>132</v>
      </c>
      <c r="H125" s="33">
        <v>28.48</v>
      </c>
      <c r="I125" s="33">
        <v>62.12</v>
      </c>
      <c r="J125" s="33">
        <v>8.24</v>
      </c>
      <c r="K125" s="33">
        <v>0.14000000000000001</v>
      </c>
      <c r="L125" s="33">
        <v>126.47</v>
      </c>
      <c r="M125" s="33">
        <v>0</v>
      </c>
      <c r="N125" s="12">
        <v>274.33</v>
      </c>
    </row>
    <row r="126" spans="1:14" x14ac:dyDescent="0.45">
      <c r="A126" s="24"/>
      <c r="B126" s="71" t="s">
        <v>56</v>
      </c>
      <c r="C126" s="40">
        <v>374.29</v>
      </c>
      <c r="D126" s="41"/>
      <c r="E126" s="14"/>
      <c r="G126" s="11" t="s">
        <v>133</v>
      </c>
      <c r="H126" s="33">
        <v>27.56</v>
      </c>
      <c r="I126" s="33">
        <v>60.12</v>
      </c>
      <c r="J126" s="33">
        <v>7.15</v>
      </c>
      <c r="K126" s="33">
        <v>0.35</v>
      </c>
      <c r="L126" s="33">
        <v>69.489999999999995</v>
      </c>
      <c r="M126" s="33">
        <v>10.33</v>
      </c>
      <c r="N126" s="12">
        <v>252.87</v>
      </c>
    </row>
    <row r="127" spans="1:14" x14ac:dyDescent="0.45">
      <c r="A127" s="24"/>
      <c r="B127" s="71" t="s">
        <v>57</v>
      </c>
      <c r="C127" s="40">
        <v>305.2</v>
      </c>
      <c r="D127" s="41"/>
      <c r="E127" s="14"/>
      <c r="G127" s="11" t="s">
        <v>134</v>
      </c>
      <c r="H127" s="33">
        <v>28.48</v>
      </c>
      <c r="I127" s="33">
        <v>62.12</v>
      </c>
      <c r="J127" s="33">
        <v>5.56</v>
      </c>
      <c r="K127" s="33">
        <v>0.75</v>
      </c>
      <c r="L127" s="33">
        <v>6.15</v>
      </c>
      <c r="M127" s="33">
        <v>29.36</v>
      </c>
      <c r="N127" s="12">
        <v>246.23</v>
      </c>
    </row>
    <row r="128" spans="1:14" x14ac:dyDescent="0.45">
      <c r="A128" s="24"/>
      <c r="B128" s="71" t="s">
        <v>58</v>
      </c>
      <c r="C128" s="40">
        <v>259.33999999999997</v>
      </c>
      <c r="D128" s="41"/>
      <c r="E128" s="14"/>
      <c r="G128" s="11" t="s">
        <v>135</v>
      </c>
      <c r="H128" s="33">
        <v>27.56</v>
      </c>
      <c r="I128" s="33">
        <v>60.12</v>
      </c>
      <c r="J128" s="33">
        <v>7.22</v>
      </c>
      <c r="K128" s="33">
        <v>1.66</v>
      </c>
      <c r="L128" s="33">
        <v>0</v>
      </c>
      <c r="M128" s="33">
        <v>77.040000000000006</v>
      </c>
      <c r="N128" s="12">
        <v>225.66</v>
      </c>
    </row>
    <row r="129" spans="1:14" ht="14.65" thickBot="1" x14ac:dyDescent="0.5">
      <c r="A129" s="24"/>
      <c r="B129" s="72" t="s">
        <v>62</v>
      </c>
      <c r="C129" s="44">
        <f>671.56+351.71+314.09</f>
        <v>1337.36</v>
      </c>
      <c r="D129" s="44"/>
      <c r="E129" s="15"/>
      <c r="G129" s="11" t="s">
        <v>136</v>
      </c>
      <c r="H129" s="33">
        <v>28.48</v>
      </c>
      <c r="I129" s="33">
        <v>62.12</v>
      </c>
      <c r="J129" s="33">
        <v>10.88</v>
      </c>
      <c r="K129" s="33">
        <v>2.54</v>
      </c>
      <c r="L129" s="33">
        <v>0</v>
      </c>
      <c r="M129" s="33">
        <v>136.43</v>
      </c>
      <c r="N129" s="12">
        <v>225.74</v>
      </c>
    </row>
    <row r="130" spans="1:14" ht="14.65" thickBot="1" x14ac:dyDescent="0.5">
      <c r="A130" s="24"/>
      <c r="B130" s="72" t="s">
        <v>38</v>
      </c>
      <c r="C130" s="8">
        <v>568.42999999999995</v>
      </c>
      <c r="D130" s="44">
        <f>C130/$C$2</f>
        <v>7.7442779291553139</v>
      </c>
      <c r="E130" s="15">
        <f>C130/$C$3</f>
        <v>12.132977588046957</v>
      </c>
      <c r="G130" s="11" t="s">
        <v>137</v>
      </c>
      <c r="H130" s="33">
        <v>28.48</v>
      </c>
      <c r="I130" s="33">
        <v>62.12</v>
      </c>
      <c r="J130" s="33">
        <v>11.25</v>
      </c>
      <c r="K130" s="33">
        <v>2.65</v>
      </c>
      <c r="L130" s="33">
        <v>0</v>
      </c>
      <c r="M130" s="33">
        <v>143.94</v>
      </c>
      <c r="N130" s="12">
        <v>225.84</v>
      </c>
    </row>
    <row r="131" spans="1:14" x14ac:dyDescent="0.45">
      <c r="A131" s="24"/>
      <c r="B131" s="72" t="s">
        <v>59</v>
      </c>
      <c r="C131" s="43">
        <v>4.96</v>
      </c>
      <c r="D131" s="43"/>
      <c r="E131" s="15"/>
      <c r="G131" s="11" t="s">
        <v>138</v>
      </c>
      <c r="H131" s="33">
        <v>27.56</v>
      </c>
      <c r="I131" s="33">
        <v>60.12</v>
      </c>
      <c r="J131" s="33">
        <v>10.17</v>
      </c>
      <c r="K131" s="33">
        <v>2.5499999999999998</v>
      </c>
      <c r="L131" s="33">
        <v>0</v>
      </c>
      <c r="M131" s="33">
        <v>127.71</v>
      </c>
      <c r="N131" s="12">
        <v>226.03</v>
      </c>
    </row>
    <row r="132" spans="1:14" x14ac:dyDescent="0.45">
      <c r="A132" s="24"/>
      <c r="B132" s="72" t="s">
        <v>64</v>
      </c>
      <c r="C132" s="43">
        <v>2.76</v>
      </c>
      <c r="D132" s="43"/>
      <c r="E132" s="15"/>
      <c r="G132" s="11" t="s">
        <v>139</v>
      </c>
      <c r="H132" s="33">
        <v>28.48</v>
      </c>
      <c r="I132" s="33">
        <v>62.12</v>
      </c>
      <c r="J132" s="33">
        <v>5.21</v>
      </c>
      <c r="K132" s="33">
        <v>1.05</v>
      </c>
      <c r="L132" s="33">
        <v>0.08</v>
      </c>
      <c r="M132" s="33">
        <v>39.49</v>
      </c>
      <c r="N132" s="12">
        <v>246.74</v>
      </c>
    </row>
    <row r="133" spans="1:14" ht="14.65" thickBot="1" x14ac:dyDescent="0.5">
      <c r="A133" s="24"/>
      <c r="B133" s="72" t="s">
        <v>60</v>
      </c>
      <c r="C133" s="43">
        <v>10.55</v>
      </c>
      <c r="D133" s="43"/>
      <c r="E133" s="15"/>
      <c r="G133" s="11" t="s">
        <v>140</v>
      </c>
      <c r="H133" s="33">
        <v>27.56</v>
      </c>
      <c r="I133" s="33">
        <v>60.12</v>
      </c>
      <c r="J133" s="33">
        <v>8.6199999999999992</v>
      </c>
      <c r="K133" s="33">
        <v>0.24</v>
      </c>
      <c r="L133" s="33">
        <v>110.23</v>
      </c>
      <c r="M133" s="33">
        <v>4.13</v>
      </c>
      <c r="N133" s="12">
        <v>253.34</v>
      </c>
    </row>
    <row r="134" spans="1:14" ht="14.65" thickBot="1" x14ac:dyDescent="0.5">
      <c r="A134" s="24"/>
      <c r="B134" s="73" t="s">
        <v>50</v>
      </c>
      <c r="C134" s="21">
        <f>109.8-20.95</f>
        <v>88.85</v>
      </c>
      <c r="D134" s="46"/>
      <c r="E134" s="74"/>
      <c r="G134" s="11" t="s">
        <v>141</v>
      </c>
      <c r="H134" s="33">
        <v>28.48</v>
      </c>
      <c r="I134" s="33">
        <v>62.12</v>
      </c>
      <c r="J134" s="33">
        <v>11.95</v>
      </c>
      <c r="K134" s="33">
        <v>0.19</v>
      </c>
      <c r="L134" s="33">
        <v>198.88</v>
      </c>
      <c r="M134" s="33">
        <v>0</v>
      </c>
      <c r="N134" s="12">
        <v>274.69</v>
      </c>
    </row>
    <row r="135" spans="1:14" x14ac:dyDescent="0.45">
      <c r="A135" s="24" t="s">
        <v>7</v>
      </c>
      <c r="B135" s="75" t="s">
        <v>66</v>
      </c>
      <c r="C135" s="48">
        <f>12.61*0.05</f>
        <v>0.63050000000000006</v>
      </c>
      <c r="D135" s="49"/>
      <c r="E135" s="16"/>
      <c r="G135" s="11"/>
      <c r="H135" s="33"/>
      <c r="I135" s="33"/>
      <c r="J135" s="33"/>
      <c r="K135" s="33"/>
      <c r="L135" s="33"/>
      <c r="M135" s="33"/>
      <c r="N135" s="12"/>
    </row>
    <row r="136" spans="1:14" ht="14.65" thickBot="1" x14ac:dyDescent="0.5">
      <c r="A136" s="24"/>
      <c r="B136" s="76" t="s">
        <v>63</v>
      </c>
      <c r="C136" s="51">
        <v>2261.3000000000002</v>
      </c>
      <c r="D136" s="51"/>
      <c r="E136" s="77"/>
      <c r="G136" s="18" t="s">
        <v>148</v>
      </c>
      <c r="H136" s="19">
        <v>335.31</v>
      </c>
      <c r="I136" s="19">
        <v>731.43</v>
      </c>
      <c r="J136" s="19">
        <v>109.8</v>
      </c>
      <c r="K136" s="19">
        <v>12.61</v>
      </c>
      <c r="L136" s="19">
        <v>1041.54</v>
      </c>
      <c r="M136" s="19">
        <v>568.42999999999995</v>
      </c>
      <c r="N136" s="34">
        <v>2987.94</v>
      </c>
    </row>
    <row r="137" spans="1:14" ht="14.65" thickBot="1" x14ac:dyDescent="0.5">
      <c r="A137" s="24"/>
      <c r="B137" s="78" t="s">
        <v>54</v>
      </c>
      <c r="C137" s="9">
        <v>2987.94</v>
      </c>
      <c r="D137" s="53"/>
      <c r="E137" s="79"/>
    </row>
    <row r="138" spans="1:14" x14ac:dyDescent="0.45">
      <c r="A138" s="24"/>
      <c r="B138" s="76" t="s">
        <v>39</v>
      </c>
      <c r="C138" s="51"/>
      <c r="D138" s="51"/>
      <c r="E138" s="79"/>
    </row>
    <row r="139" spans="1:14" x14ac:dyDescent="0.45">
      <c r="A139" s="11"/>
      <c r="B139" s="80" t="s">
        <v>51</v>
      </c>
      <c r="C139" s="55">
        <f>C122+C123+C125+C130+C134+C135</f>
        <v>2766.1904999999997</v>
      </c>
      <c r="D139" s="56"/>
      <c r="E139" s="35"/>
    </row>
    <row r="140" spans="1:14" x14ac:dyDescent="0.45">
      <c r="A140" s="11"/>
      <c r="B140" s="80" t="s">
        <v>65</v>
      </c>
      <c r="C140" s="57">
        <f>C137</f>
        <v>2987.94</v>
      </c>
      <c r="D140" s="56"/>
      <c r="E140" s="35"/>
    </row>
    <row r="141" spans="1:14" x14ac:dyDescent="0.45">
      <c r="A141" s="11"/>
      <c r="B141" s="11"/>
      <c r="C141" s="33"/>
      <c r="D141" s="33"/>
      <c r="E141" s="12"/>
    </row>
    <row r="142" spans="1:14" ht="15.75" x14ac:dyDescent="0.5">
      <c r="A142" s="24" t="s">
        <v>52</v>
      </c>
      <c r="B142" s="81" t="s">
        <v>40</v>
      </c>
      <c r="C142" s="59">
        <v>4102.5609999999997</v>
      </c>
      <c r="D142" s="33"/>
      <c r="E142" s="12"/>
    </row>
    <row r="143" spans="1:14" ht="15.75" x14ac:dyDescent="0.5">
      <c r="A143" s="24"/>
      <c r="B143" s="81" t="s">
        <v>41</v>
      </c>
      <c r="C143" s="60">
        <v>-146.80000000000001</v>
      </c>
      <c r="D143" s="33"/>
      <c r="E143" s="12"/>
    </row>
    <row r="144" spans="1:14" ht="15.75" x14ac:dyDescent="0.5">
      <c r="A144" s="24"/>
      <c r="B144" s="81" t="s">
        <v>42</v>
      </c>
      <c r="C144" s="60">
        <v>-118.67</v>
      </c>
      <c r="D144" s="33"/>
      <c r="E144" s="82"/>
    </row>
    <row r="145" spans="1:6" ht="15.75" x14ac:dyDescent="0.45">
      <c r="A145" s="24"/>
      <c r="B145" s="81" t="s">
        <v>43</v>
      </c>
      <c r="C145" s="61">
        <f>C142+C143+C144</f>
        <v>3837.0909999999994</v>
      </c>
      <c r="D145" s="33"/>
      <c r="E145" s="12"/>
    </row>
    <row r="146" spans="1:6" ht="15.75" x14ac:dyDescent="0.45">
      <c r="A146" s="24"/>
      <c r="B146" s="81" t="s">
        <v>44</v>
      </c>
      <c r="C146" s="62">
        <v>-2104.0909999999999</v>
      </c>
      <c r="D146" s="33"/>
      <c r="E146" s="12"/>
    </row>
    <row r="147" spans="1:6" ht="15.75" x14ac:dyDescent="0.5">
      <c r="A147" s="24"/>
      <c r="B147" s="81" t="s">
        <v>45</v>
      </c>
      <c r="C147" s="59">
        <f>C145+C146</f>
        <v>1732.9999999999995</v>
      </c>
      <c r="D147" s="33"/>
      <c r="E147" s="12"/>
    </row>
    <row r="148" spans="1:6" ht="15.75" x14ac:dyDescent="0.5">
      <c r="A148" s="24"/>
      <c r="B148" s="81" t="s">
        <v>46</v>
      </c>
      <c r="C148" s="60">
        <v>1066.1310000000001</v>
      </c>
      <c r="D148" s="33"/>
      <c r="E148" s="12"/>
    </row>
    <row r="149" spans="1:6" ht="15.75" customHeight="1" x14ac:dyDescent="0.45">
      <c r="A149" s="24"/>
      <c r="B149" s="81" t="s">
        <v>47</v>
      </c>
      <c r="C149" s="61">
        <f>C147+C148</f>
        <v>2799.1309999999994</v>
      </c>
      <c r="D149" s="68" t="s">
        <v>159</v>
      </c>
      <c r="E149" s="83"/>
    </row>
    <row r="150" spans="1:6" x14ac:dyDescent="0.45">
      <c r="A150" s="11"/>
      <c r="B150" s="11"/>
      <c r="C150" s="33"/>
      <c r="D150" s="68"/>
      <c r="E150" s="83"/>
    </row>
    <row r="151" spans="1:6" x14ac:dyDescent="0.45">
      <c r="A151" s="11"/>
      <c r="B151" s="11"/>
      <c r="C151" s="33"/>
      <c r="D151" s="68"/>
      <c r="E151" s="83"/>
    </row>
    <row r="152" spans="1:6" ht="14.65" thickBot="1" x14ac:dyDescent="0.5">
      <c r="A152" s="18"/>
      <c r="B152" s="18"/>
      <c r="C152" s="19"/>
      <c r="D152" s="69"/>
      <c r="E152" s="84"/>
      <c r="F152" s="5"/>
    </row>
  </sheetData>
  <mergeCells count="41">
    <mergeCell ref="B121:E121"/>
    <mergeCell ref="G121:N121"/>
    <mergeCell ref="A122:A123"/>
    <mergeCell ref="A124:A134"/>
    <mergeCell ref="A135:A138"/>
    <mergeCell ref="A142:A149"/>
    <mergeCell ref="D149:E152"/>
    <mergeCell ref="A88:A98"/>
    <mergeCell ref="A99:A102"/>
    <mergeCell ref="A106:A113"/>
    <mergeCell ref="A118:N119"/>
    <mergeCell ref="B120:E120"/>
    <mergeCell ref="G120:N120"/>
    <mergeCell ref="D113:E116"/>
    <mergeCell ref="A82:N83"/>
    <mergeCell ref="B84:E84"/>
    <mergeCell ref="G84:N84"/>
    <mergeCell ref="B85:E85"/>
    <mergeCell ref="G85:N85"/>
    <mergeCell ref="A86:A87"/>
    <mergeCell ref="A50:A51"/>
    <mergeCell ref="A52:A62"/>
    <mergeCell ref="A63:A66"/>
    <mergeCell ref="A70:A77"/>
    <mergeCell ref="D77:E80"/>
    <mergeCell ref="A5:N6"/>
    <mergeCell ref="A46:N47"/>
    <mergeCell ref="B48:E48"/>
    <mergeCell ref="G48:N48"/>
    <mergeCell ref="B49:E49"/>
    <mergeCell ref="G49:N49"/>
    <mergeCell ref="D36:E39"/>
    <mergeCell ref="D40:E43"/>
    <mergeCell ref="G7:N7"/>
    <mergeCell ref="G8:N8"/>
    <mergeCell ref="A29:A36"/>
    <mergeCell ref="A9:A10"/>
    <mergeCell ref="A11:A21"/>
    <mergeCell ref="A22:A25"/>
    <mergeCell ref="B7:E7"/>
    <mergeCell ref="B8:E8"/>
  </mergeCells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2E574-24A0-44BD-B612-69936DFCDE47}">
  <dimension ref="A1:N148"/>
  <sheetViews>
    <sheetView zoomScaleNormal="100" workbookViewId="0">
      <selection activeCell="B1" sqref="B1"/>
    </sheetView>
  </sheetViews>
  <sheetFormatPr defaultRowHeight="14.25" x14ac:dyDescent="0.45"/>
  <cols>
    <col min="1" max="1" width="3.33203125" customWidth="1"/>
    <col min="2" max="2" width="50.265625" bestFit="1" customWidth="1"/>
    <col min="3" max="3" width="9.3984375" bestFit="1" customWidth="1"/>
    <col min="4" max="4" width="14.06640625" customWidth="1"/>
    <col min="5" max="5" width="18.1328125" customWidth="1"/>
    <col min="6" max="6" width="9.06640625" customWidth="1"/>
    <col min="7" max="7" width="10" bestFit="1" customWidth="1"/>
    <col min="8" max="8" width="17" bestFit="1" customWidth="1"/>
    <col min="9" max="9" width="19.46484375" bestFit="1" customWidth="1"/>
    <col min="10" max="10" width="14.53125" bestFit="1" customWidth="1"/>
    <col min="11" max="11" width="16.265625" bestFit="1" customWidth="1"/>
    <col min="12" max="12" width="17" bestFit="1" customWidth="1"/>
    <col min="13" max="13" width="16.9296875" bestFit="1" customWidth="1"/>
    <col min="14" max="14" width="16.33203125" bestFit="1" customWidth="1"/>
  </cols>
  <sheetData>
    <row r="1" spans="1:14" x14ac:dyDescent="0.45">
      <c r="B1" t="s">
        <v>29</v>
      </c>
    </row>
    <row r="2" spans="1:14" x14ac:dyDescent="0.45">
      <c r="B2" t="s">
        <v>30</v>
      </c>
      <c r="C2">
        <f>3.66+3.16+9.24+3.27+7.22+19.38+11.69+15.78</f>
        <v>73.399999999999991</v>
      </c>
    </row>
    <row r="3" spans="1:14" x14ac:dyDescent="0.45">
      <c r="B3" t="s">
        <v>31</v>
      </c>
      <c r="C3">
        <f>19.38+11.69+15.78</f>
        <v>46.85</v>
      </c>
    </row>
    <row r="5" spans="1:14" x14ac:dyDescent="0.45">
      <c r="A5" s="63" t="s">
        <v>154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</row>
    <row r="6" spans="1:14" ht="14.65" thickBot="1" x14ac:dyDescent="0.5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</row>
    <row r="7" spans="1:14" x14ac:dyDescent="0.45">
      <c r="A7" s="29" t="s">
        <v>174</v>
      </c>
      <c r="B7" s="25"/>
      <c r="C7" s="25"/>
      <c r="D7" s="25"/>
      <c r="E7" s="26"/>
      <c r="G7" s="29" t="s">
        <v>174</v>
      </c>
      <c r="H7" s="25"/>
      <c r="I7" s="25"/>
      <c r="J7" s="25"/>
      <c r="K7" s="25"/>
      <c r="L7" s="25"/>
      <c r="M7" s="25"/>
      <c r="N7" s="26"/>
    </row>
    <row r="8" spans="1:14" x14ac:dyDescent="0.45">
      <c r="A8" s="30" t="s">
        <v>32</v>
      </c>
      <c r="B8" s="31"/>
      <c r="C8" s="31"/>
      <c r="D8" s="31"/>
      <c r="E8" s="27"/>
      <c r="G8" s="30" t="s">
        <v>149</v>
      </c>
      <c r="H8" s="31"/>
      <c r="I8" s="31"/>
      <c r="J8" s="31"/>
      <c r="K8" s="31"/>
      <c r="L8" s="31"/>
      <c r="M8" s="31"/>
      <c r="N8" s="27"/>
    </row>
    <row r="9" spans="1:14" x14ac:dyDescent="0.45">
      <c r="A9" s="24" t="s">
        <v>55</v>
      </c>
      <c r="B9" s="37" t="s">
        <v>33</v>
      </c>
      <c r="C9" s="38">
        <v>731.43</v>
      </c>
      <c r="D9" s="33"/>
      <c r="E9" s="12"/>
      <c r="G9" s="11"/>
      <c r="H9" s="32" t="s">
        <v>143</v>
      </c>
      <c r="I9" s="32" t="s">
        <v>142</v>
      </c>
      <c r="J9" s="32" t="s">
        <v>144</v>
      </c>
      <c r="K9" s="32" t="s">
        <v>145</v>
      </c>
      <c r="L9" s="32" t="s">
        <v>146</v>
      </c>
      <c r="M9" s="32" t="s">
        <v>147</v>
      </c>
      <c r="N9" s="13" t="s">
        <v>175</v>
      </c>
    </row>
    <row r="10" spans="1:14" x14ac:dyDescent="0.45">
      <c r="A10" s="24"/>
      <c r="B10" s="37" t="s">
        <v>34</v>
      </c>
      <c r="C10" s="38">
        <v>335.31</v>
      </c>
      <c r="D10" s="32" t="s">
        <v>35</v>
      </c>
      <c r="E10" s="13" t="s">
        <v>36</v>
      </c>
      <c r="G10" s="11" t="s">
        <v>130</v>
      </c>
      <c r="H10" s="33">
        <v>28.48</v>
      </c>
      <c r="I10" s="33">
        <v>62.12</v>
      </c>
      <c r="J10" s="33">
        <v>16.440000000000001</v>
      </c>
      <c r="K10" s="33">
        <v>0.44</v>
      </c>
      <c r="L10" s="33">
        <v>128.68</v>
      </c>
      <c r="M10" s="33">
        <v>0</v>
      </c>
      <c r="N10" s="12">
        <v>135.72999999999999</v>
      </c>
    </row>
    <row r="11" spans="1:14" ht="14.65" customHeight="1" thickBot="1" x14ac:dyDescent="0.5">
      <c r="A11" s="24" t="s">
        <v>28</v>
      </c>
      <c r="B11" s="39" t="s">
        <v>61</v>
      </c>
      <c r="C11" s="40">
        <f>638.57+660.89+989.36</f>
        <v>2288.8200000000002</v>
      </c>
      <c r="D11" s="41"/>
      <c r="E11" s="14"/>
      <c r="G11" s="11" t="s">
        <v>131</v>
      </c>
      <c r="H11" s="33">
        <v>25.72</v>
      </c>
      <c r="I11" s="33">
        <v>56.11</v>
      </c>
      <c r="J11" s="33">
        <v>13.89</v>
      </c>
      <c r="K11" s="33">
        <v>0.33</v>
      </c>
      <c r="L11" s="33">
        <v>90.73</v>
      </c>
      <c r="M11" s="33">
        <v>0</v>
      </c>
      <c r="N11" s="12">
        <v>121.25</v>
      </c>
    </row>
    <row r="12" spans="1:14" ht="14.65" thickBot="1" x14ac:dyDescent="0.5">
      <c r="A12" s="24"/>
      <c r="B12" s="39" t="s">
        <v>37</v>
      </c>
      <c r="C12" s="7">
        <v>500.31</v>
      </c>
      <c r="D12" s="41">
        <f>C12/$C$2</f>
        <v>6.8162125340599466</v>
      </c>
      <c r="E12" s="14">
        <f>C12/$C$3</f>
        <v>10.678975453575239</v>
      </c>
      <c r="G12" s="11" t="s">
        <v>132</v>
      </c>
      <c r="H12" s="33">
        <v>28.48</v>
      </c>
      <c r="I12" s="33">
        <v>62.12</v>
      </c>
      <c r="J12" s="33">
        <v>13.55</v>
      </c>
      <c r="K12" s="33">
        <v>0.26</v>
      </c>
      <c r="L12" s="33">
        <v>64.03</v>
      </c>
      <c r="M12" s="33">
        <v>0</v>
      </c>
      <c r="N12" s="12">
        <v>121.18</v>
      </c>
    </row>
    <row r="13" spans="1:14" x14ac:dyDescent="0.45">
      <c r="A13" s="24"/>
      <c r="B13" s="39" t="s">
        <v>56</v>
      </c>
      <c r="C13" s="40">
        <v>6.22</v>
      </c>
      <c r="D13" s="41"/>
      <c r="E13" s="14"/>
      <c r="G13" s="11" t="s">
        <v>133</v>
      </c>
      <c r="H13" s="33">
        <v>27.56</v>
      </c>
      <c r="I13" s="33">
        <v>60.12</v>
      </c>
      <c r="J13" s="33">
        <v>12.15</v>
      </c>
      <c r="K13" s="33">
        <v>0.2</v>
      </c>
      <c r="L13" s="33">
        <v>43.51</v>
      </c>
      <c r="M13" s="33">
        <v>7.0000000000000007E-2</v>
      </c>
      <c r="N13" s="12">
        <v>105.63</v>
      </c>
    </row>
    <row r="14" spans="1:14" x14ac:dyDescent="0.45">
      <c r="A14" s="24"/>
      <c r="B14" s="39" t="s">
        <v>57</v>
      </c>
      <c r="C14" s="40">
        <v>9.57</v>
      </c>
      <c r="D14" s="41"/>
      <c r="E14" s="14"/>
      <c r="G14" s="11" t="s">
        <v>134</v>
      </c>
      <c r="H14" s="33">
        <v>28.48</v>
      </c>
      <c r="I14" s="33">
        <v>62.12</v>
      </c>
      <c r="J14" s="33">
        <v>11.49</v>
      </c>
      <c r="K14" s="33">
        <v>0.14000000000000001</v>
      </c>
      <c r="L14" s="33">
        <v>16.91</v>
      </c>
      <c r="M14" s="33">
        <v>0.77</v>
      </c>
      <c r="N14" s="12">
        <v>89.03</v>
      </c>
    </row>
    <row r="15" spans="1:14" x14ac:dyDescent="0.45">
      <c r="A15" s="24"/>
      <c r="B15" s="39" t="s">
        <v>58</v>
      </c>
      <c r="C15" s="40">
        <v>29.75</v>
      </c>
      <c r="D15" s="41"/>
      <c r="E15" s="14"/>
      <c r="G15" s="11" t="s">
        <v>135</v>
      </c>
      <c r="H15" s="33">
        <v>27.56</v>
      </c>
      <c r="I15" s="33">
        <v>60.12</v>
      </c>
      <c r="J15" s="33">
        <v>10.14</v>
      </c>
      <c r="K15" s="33">
        <v>0.22</v>
      </c>
      <c r="L15" s="33">
        <v>1.68</v>
      </c>
      <c r="M15" s="33">
        <v>3.75</v>
      </c>
      <c r="N15" s="12">
        <v>78.400000000000006</v>
      </c>
    </row>
    <row r="16" spans="1:14" ht="14.65" thickBot="1" x14ac:dyDescent="0.5">
      <c r="A16" s="24"/>
      <c r="B16" s="42" t="s">
        <v>62</v>
      </c>
      <c r="C16" s="43">
        <f>123.09+48.55+33.14</f>
        <v>204.77999999999997</v>
      </c>
      <c r="D16" s="44"/>
      <c r="E16" s="15"/>
      <c r="G16" s="11" t="s">
        <v>136</v>
      </c>
      <c r="H16" s="33">
        <v>28.48</v>
      </c>
      <c r="I16" s="33">
        <v>62.12</v>
      </c>
      <c r="J16" s="33">
        <v>11.58</v>
      </c>
      <c r="K16" s="33">
        <v>0.75</v>
      </c>
      <c r="L16" s="33">
        <v>0</v>
      </c>
      <c r="M16" s="33">
        <v>18.02</v>
      </c>
      <c r="N16" s="12">
        <v>77.87</v>
      </c>
    </row>
    <row r="17" spans="1:14" ht="14.65" thickBot="1" x14ac:dyDescent="0.5">
      <c r="A17" s="24"/>
      <c r="B17" s="42" t="s">
        <v>38</v>
      </c>
      <c r="C17" s="8">
        <v>55.79</v>
      </c>
      <c r="D17" s="44">
        <f>C17/$C$2</f>
        <v>0.7600817438692099</v>
      </c>
      <c r="E17" s="15">
        <f>C17/$C$3</f>
        <v>1.1908217716115261</v>
      </c>
      <c r="G17" s="11" t="s">
        <v>137</v>
      </c>
      <c r="H17" s="33">
        <v>28.48</v>
      </c>
      <c r="I17" s="33">
        <v>62.12</v>
      </c>
      <c r="J17" s="33">
        <v>11.77</v>
      </c>
      <c r="K17" s="33">
        <v>0.85</v>
      </c>
      <c r="L17" s="33">
        <v>0</v>
      </c>
      <c r="M17" s="33">
        <v>20.9</v>
      </c>
      <c r="N17" s="12">
        <v>76.81</v>
      </c>
    </row>
    <row r="18" spans="1:14" x14ac:dyDescent="0.45">
      <c r="A18" s="24"/>
      <c r="B18" s="42" t="s">
        <v>59</v>
      </c>
      <c r="C18" s="43">
        <v>0.53</v>
      </c>
      <c r="D18" s="43"/>
      <c r="E18" s="15"/>
      <c r="G18" s="11" t="s">
        <v>138</v>
      </c>
      <c r="H18" s="33">
        <v>27.56</v>
      </c>
      <c r="I18" s="33">
        <v>60.12</v>
      </c>
      <c r="J18" s="33">
        <v>10.79</v>
      </c>
      <c r="K18" s="33">
        <v>0.56999999999999995</v>
      </c>
      <c r="L18" s="33">
        <v>0.05</v>
      </c>
      <c r="M18" s="33">
        <v>11.9</v>
      </c>
      <c r="N18" s="12">
        <v>76.37</v>
      </c>
    </row>
    <row r="19" spans="1:14" x14ac:dyDescent="0.45">
      <c r="A19" s="24"/>
      <c r="B19" s="42" t="s">
        <v>64</v>
      </c>
      <c r="C19" s="43">
        <v>0.21</v>
      </c>
      <c r="D19" s="43"/>
      <c r="E19" s="15"/>
      <c r="G19" s="11" t="s">
        <v>139</v>
      </c>
      <c r="H19" s="33">
        <v>28.48</v>
      </c>
      <c r="I19" s="33">
        <v>62.12</v>
      </c>
      <c r="J19" s="33">
        <v>10.49</v>
      </c>
      <c r="K19" s="33">
        <v>0.08</v>
      </c>
      <c r="L19" s="33">
        <v>3.23</v>
      </c>
      <c r="M19" s="33">
        <v>0.37</v>
      </c>
      <c r="N19" s="12">
        <v>84.32</v>
      </c>
    </row>
    <row r="20" spans="1:14" ht="14.65" thickBot="1" x14ac:dyDescent="0.5">
      <c r="A20" s="24"/>
      <c r="B20" s="42" t="s">
        <v>60</v>
      </c>
      <c r="C20" s="43">
        <v>0.72</v>
      </c>
      <c r="D20" s="43"/>
      <c r="E20" s="15"/>
      <c r="G20" s="11" t="s">
        <v>140</v>
      </c>
      <c r="H20" s="33">
        <v>27.56</v>
      </c>
      <c r="I20" s="33">
        <v>60.12</v>
      </c>
      <c r="J20" s="33">
        <v>13.02</v>
      </c>
      <c r="K20" s="33">
        <v>0.25</v>
      </c>
      <c r="L20" s="33">
        <v>64.069999999999993</v>
      </c>
      <c r="M20" s="33">
        <v>0</v>
      </c>
      <c r="N20" s="12">
        <v>105.91</v>
      </c>
    </row>
    <row r="21" spans="1:14" ht="14.65" thickBot="1" x14ac:dyDescent="0.5">
      <c r="A21" s="24"/>
      <c r="B21" s="45" t="s">
        <v>50</v>
      </c>
      <c r="C21" s="21">
        <f>149.75-12.58</f>
        <v>137.16999999999999</v>
      </c>
      <c r="D21" s="46"/>
      <c r="E21" s="74"/>
      <c r="G21" s="11" t="s">
        <v>141</v>
      </c>
      <c r="H21" s="33">
        <v>28.48</v>
      </c>
      <c r="I21" s="33">
        <v>62.12</v>
      </c>
      <c r="J21" s="33">
        <v>14.43</v>
      </c>
      <c r="K21" s="33">
        <v>0.34</v>
      </c>
      <c r="L21" s="33">
        <v>87.41</v>
      </c>
      <c r="M21" s="33">
        <v>0</v>
      </c>
      <c r="N21" s="12">
        <v>122.37</v>
      </c>
    </row>
    <row r="22" spans="1:14" ht="14.65" thickBot="1" x14ac:dyDescent="0.5">
      <c r="A22" s="24" t="s">
        <v>7</v>
      </c>
      <c r="B22" s="47" t="s">
        <v>66</v>
      </c>
      <c r="C22" s="23">
        <f>4.43*0.05</f>
        <v>0.2215</v>
      </c>
      <c r="D22" s="49"/>
      <c r="E22" s="16"/>
      <c r="G22" s="11"/>
      <c r="H22" s="33"/>
      <c r="I22" s="33"/>
      <c r="J22" s="33"/>
      <c r="K22" s="33"/>
      <c r="L22" s="33"/>
      <c r="M22" s="33"/>
      <c r="N22" s="12"/>
    </row>
    <row r="23" spans="1:14" ht="14.65" customHeight="1" thickBot="1" x14ac:dyDescent="0.5">
      <c r="A23" s="24"/>
      <c r="B23" s="50" t="s">
        <v>63</v>
      </c>
      <c r="C23" s="51">
        <v>2466.3000000000002</v>
      </c>
      <c r="D23" s="51"/>
      <c r="E23" s="77"/>
      <c r="G23" s="18" t="s">
        <v>148</v>
      </c>
      <c r="H23" s="19">
        <v>335.31</v>
      </c>
      <c r="I23" s="19">
        <v>731.43</v>
      </c>
      <c r="J23" s="19">
        <v>149.75</v>
      </c>
      <c r="K23" s="19">
        <v>4.43</v>
      </c>
      <c r="L23" s="19">
        <v>500.31</v>
      </c>
      <c r="M23" s="19">
        <v>55.79</v>
      </c>
      <c r="N23" s="34">
        <v>1194.8699999999999</v>
      </c>
    </row>
    <row r="24" spans="1:14" x14ac:dyDescent="0.45">
      <c r="A24" s="24"/>
      <c r="B24" s="17" t="s">
        <v>48</v>
      </c>
      <c r="C24" s="89">
        <v>1040.3800000000001</v>
      </c>
      <c r="D24" s="53"/>
      <c r="E24" s="79"/>
    </row>
    <row r="25" spans="1:14" ht="14.65" thickBot="1" x14ac:dyDescent="0.5">
      <c r="A25" s="24"/>
      <c r="B25" s="17" t="s">
        <v>49</v>
      </c>
      <c r="C25" s="90">
        <v>154.47999999999999</v>
      </c>
      <c r="D25" s="51"/>
      <c r="E25" s="79"/>
    </row>
    <row r="26" spans="1:14" x14ac:dyDescent="0.45">
      <c r="A26" s="11"/>
      <c r="B26" s="54" t="s">
        <v>51</v>
      </c>
      <c r="C26" s="55">
        <f>C9+C10+C12+C17+C21+C22+C24+C25</f>
        <v>2955.0915</v>
      </c>
      <c r="D26" s="56"/>
      <c r="E26" s="35"/>
    </row>
    <row r="27" spans="1:14" x14ac:dyDescent="0.45">
      <c r="A27" s="11"/>
      <c r="B27" s="33"/>
      <c r="C27" s="33"/>
      <c r="D27" s="33"/>
      <c r="E27" s="12"/>
    </row>
    <row r="28" spans="1:14" ht="15.75" x14ac:dyDescent="0.5">
      <c r="A28" s="24" t="s">
        <v>52</v>
      </c>
      <c r="B28" s="58" t="s">
        <v>40</v>
      </c>
      <c r="C28" s="59">
        <v>4064.3620000000001</v>
      </c>
      <c r="D28" s="33"/>
      <c r="E28" s="12"/>
    </row>
    <row r="29" spans="1:14" ht="15.75" x14ac:dyDescent="0.5">
      <c r="A29" s="24"/>
      <c r="B29" s="58" t="s">
        <v>41</v>
      </c>
      <c r="C29" s="60">
        <v>-169.7</v>
      </c>
      <c r="D29" s="33"/>
      <c r="E29" s="12"/>
    </row>
    <row r="30" spans="1:14" ht="15.75" x14ac:dyDescent="0.5">
      <c r="A30" s="24"/>
      <c r="B30" s="58" t="s">
        <v>42</v>
      </c>
      <c r="C30" s="60">
        <v>-116.84</v>
      </c>
      <c r="D30" s="33"/>
      <c r="E30" s="82"/>
    </row>
    <row r="31" spans="1:14" ht="15.75" x14ac:dyDescent="0.45">
      <c r="A31" s="24"/>
      <c r="B31" s="58" t="s">
        <v>43</v>
      </c>
      <c r="C31" s="61">
        <f>C28+C29+C30</f>
        <v>3777.8220000000001</v>
      </c>
      <c r="D31" s="33"/>
      <c r="E31" s="12"/>
    </row>
    <row r="32" spans="1:14" ht="15.75" x14ac:dyDescent="0.45">
      <c r="A32" s="24"/>
      <c r="B32" s="58" t="s">
        <v>44</v>
      </c>
      <c r="C32" s="62">
        <v>-1738.2439999999999</v>
      </c>
      <c r="D32" s="33"/>
      <c r="E32" s="12"/>
    </row>
    <row r="33" spans="1:14" ht="15.75" x14ac:dyDescent="0.5">
      <c r="A33" s="24"/>
      <c r="B33" s="58" t="s">
        <v>45</v>
      </c>
      <c r="C33" s="59">
        <f>C31+C32</f>
        <v>2039.5780000000002</v>
      </c>
      <c r="D33" s="33"/>
      <c r="E33" s="12"/>
    </row>
    <row r="34" spans="1:14" ht="15.75" x14ac:dyDescent="0.5">
      <c r="A34" s="24"/>
      <c r="B34" s="58" t="s">
        <v>46</v>
      </c>
      <c r="C34" s="60">
        <v>932.30799999999999</v>
      </c>
      <c r="D34" s="33"/>
      <c r="E34" s="12"/>
    </row>
    <row r="35" spans="1:14" ht="15.75" customHeight="1" x14ac:dyDescent="0.45">
      <c r="A35" s="24"/>
      <c r="B35" s="58" t="s">
        <v>47</v>
      </c>
      <c r="C35" s="61">
        <f>C33+C34</f>
        <v>2971.8860000000004</v>
      </c>
      <c r="D35" s="68" t="s">
        <v>150</v>
      </c>
      <c r="E35" s="83"/>
    </row>
    <row r="36" spans="1:14" x14ac:dyDescent="0.45">
      <c r="A36" s="11"/>
      <c r="B36" s="33"/>
      <c r="C36" s="33"/>
      <c r="D36" s="68"/>
      <c r="E36" s="83"/>
    </row>
    <row r="37" spans="1:14" x14ac:dyDescent="0.45">
      <c r="A37" s="11"/>
      <c r="B37" s="33"/>
      <c r="C37" s="33"/>
      <c r="D37" s="68"/>
      <c r="E37" s="83"/>
    </row>
    <row r="38" spans="1:14" ht="14.25" customHeight="1" x14ac:dyDescent="0.45">
      <c r="A38" s="11"/>
      <c r="B38" s="33"/>
      <c r="C38" s="33"/>
      <c r="D38" s="68"/>
      <c r="E38" s="83"/>
      <c r="F38" s="5"/>
    </row>
    <row r="39" spans="1:14" ht="14.25" customHeight="1" x14ac:dyDescent="0.45">
      <c r="A39" s="11"/>
      <c r="B39" s="33"/>
      <c r="C39" s="33"/>
      <c r="D39" s="85" t="s">
        <v>128</v>
      </c>
      <c r="E39" s="86"/>
      <c r="F39" s="5"/>
    </row>
    <row r="40" spans="1:14" x14ac:dyDescent="0.45">
      <c r="A40" s="11"/>
      <c r="B40" s="33"/>
      <c r="C40" s="33"/>
      <c r="D40" s="85"/>
      <c r="E40" s="86"/>
      <c r="F40" s="5"/>
    </row>
    <row r="41" spans="1:14" x14ac:dyDescent="0.45">
      <c r="A41" s="11"/>
      <c r="B41" s="33"/>
      <c r="C41" s="33"/>
      <c r="D41" s="85"/>
      <c r="E41" s="86"/>
      <c r="F41" s="5"/>
    </row>
    <row r="42" spans="1:14" ht="14.65" thickBot="1" x14ac:dyDescent="0.5">
      <c r="A42" s="18"/>
      <c r="B42" s="19"/>
      <c r="C42" s="19"/>
      <c r="D42" s="87"/>
      <c r="E42" s="88"/>
      <c r="F42" s="5"/>
    </row>
    <row r="43" spans="1:14" x14ac:dyDescent="0.45">
      <c r="A43" s="33"/>
      <c r="B43" s="33"/>
      <c r="C43" s="33"/>
      <c r="D43" s="36"/>
      <c r="E43" s="36"/>
    </row>
    <row r="44" spans="1:14" x14ac:dyDescent="0.45">
      <c r="A44" s="33"/>
      <c r="B44" s="33"/>
      <c r="C44" s="33"/>
      <c r="D44" s="36"/>
      <c r="E44" s="36"/>
    </row>
    <row r="45" spans="1:14" x14ac:dyDescent="0.45">
      <c r="A45" s="63" t="s">
        <v>151</v>
      </c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</row>
    <row r="46" spans="1:14" ht="14.65" thickBot="1" x14ac:dyDescent="0.5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</row>
    <row r="47" spans="1:14" x14ac:dyDescent="0.45">
      <c r="A47" s="29" t="s">
        <v>174</v>
      </c>
      <c r="B47" s="25"/>
      <c r="C47" s="25"/>
      <c r="D47" s="25"/>
      <c r="E47" s="26"/>
      <c r="G47" s="29" t="s">
        <v>174</v>
      </c>
      <c r="H47" s="25"/>
      <c r="I47" s="25"/>
      <c r="J47" s="25"/>
      <c r="K47" s="25"/>
      <c r="L47" s="25"/>
      <c r="M47" s="25"/>
      <c r="N47" s="26"/>
    </row>
    <row r="48" spans="1:14" x14ac:dyDescent="0.45">
      <c r="A48" s="30" t="s">
        <v>32</v>
      </c>
      <c r="B48" s="31"/>
      <c r="C48" s="31"/>
      <c r="D48" s="31"/>
      <c r="E48" s="27"/>
      <c r="G48" s="30" t="s">
        <v>149</v>
      </c>
      <c r="H48" s="31"/>
      <c r="I48" s="31"/>
      <c r="J48" s="31"/>
      <c r="K48" s="31"/>
      <c r="L48" s="31"/>
      <c r="M48" s="31"/>
      <c r="N48" s="27"/>
    </row>
    <row r="49" spans="1:14" x14ac:dyDescent="0.45">
      <c r="A49" s="24" t="s">
        <v>55</v>
      </c>
      <c r="B49" s="37" t="s">
        <v>33</v>
      </c>
      <c r="C49" s="38">
        <v>731.43</v>
      </c>
      <c r="D49" s="33"/>
      <c r="E49" s="12"/>
      <c r="G49" s="11"/>
      <c r="H49" s="32" t="s">
        <v>143</v>
      </c>
      <c r="I49" s="32" t="s">
        <v>142</v>
      </c>
      <c r="J49" s="32" t="s">
        <v>144</v>
      </c>
      <c r="K49" s="32" t="s">
        <v>145</v>
      </c>
      <c r="L49" s="32" t="s">
        <v>146</v>
      </c>
      <c r="M49" s="32" t="s">
        <v>147</v>
      </c>
      <c r="N49" s="13" t="s">
        <v>175</v>
      </c>
    </row>
    <row r="50" spans="1:14" x14ac:dyDescent="0.45">
      <c r="A50" s="24"/>
      <c r="B50" s="37" t="s">
        <v>34</v>
      </c>
      <c r="C50" s="38">
        <v>335.31</v>
      </c>
      <c r="D50" s="32" t="s">
        <v>35</v>
      </c>
      <c r="E50" s="13" t="s">
        <v>36</v>
      </c>
      <c r="G50" s="11" t="s">
        <v>130</v>
      </c>
      <c r="H50" s="33">
        <v>28.48</v>
      </c>
      <c r="I50" s="33">
        <v>62.12</v>
      </c>
      <c r="J50" s="33">
        <v>15.03</v>
      </c>
      <c r="K50" s="33">
        <v>0.35</v>
      </c>
      <c r="L50" s="33">
        <v>101.33</v>
      </c>
      <c r="M50" s="33">
        <v>0</v>
      </c>
      <c r="N50" s="12">
        <v>126.78</v>
      </c>
    </row>
    <row r="51" spans="1:14" ht="14.65" thickBot="1" x14ac:dyDescent="0.5">
      <c r="A51" s="24" t="s">
        <v>28</v>
      </c>
      <c r="B51" s="39" t="s">
        <v>61</v>
      </c>
      <c r="C51" s="40">
        <f>676.96+475.57+458.88</f>
        <v>1611.4099999999999</v>
      </c>
      <c r="D51" s="41"/>
      <c r="E51" s="14"/>
      <c r="G51" s="11" t="s">
        <v>131</v>
      </c>
      <c r="H51" s="33">
        <v>25.72</v>
      </c>
      <c r="I51" s="33">
        <v>56.11</v>
      </c>
      <c r="J51" s="33">
        <v>12.61</v>
      </c>
      <c r="K51" s="33">
        <v>0.25</v>
      </c>
      <c r="L51" s="33">
        <v>67.239999999999995</v>
      </c>
      <c r="M51" s="33">
        <v>0</v>
      </c>
      <c r="N51" s="12">
        <v>112.7</v>
      </c>
    </row>
    <row r="52" spans="1:14" ht="14.65" thickBot="1" x14ac:dyDescent="0.5">
      <c r="A52" s="24"/>
      <c r="B52" s="39" t="s">
        <v>37</v>
      </c>
      <c r="C52" s="7">
        <v>346.83</v>
      </c>
      <c r="D52" s="41">
        <f>C52/$C$2</f>
        <v>4.7252043596730244</v>
      </c>
      <c r="E52" s="14">
        <f>C52/$C$3</f>
        <v>7.4029882604055492</v>
      </c>
      <c r="G52" s="11" t="s">
        <v>132</v>
      </c>
      <c r="H52" s="33">
        <v>28.48</v>
      </c>
      <c r="I52" s="33">
        <v>62.12</v>
      </c>
      <c r="J52" s="33">
        <v>12.29</v>
      </c>
      <c r="K52" s="33">
        <v>0.18</v>
      </c>
      <c r="L52" s="33">
        <v>40.01</v>
      </c>
      <c r="M52" s="33">
        <v>0</v>
      </c>
      <c r="N52" s="12">
        <v>111.46</v>
      </c>
    </row>
    <row r="53" spans="1:14" x14ac:dyDescent="0.45">
      <c r="A53" s="24"/>
      <c r="B53" s="39" t="s">
        <v>56</v>
      </c>
      <c r="C53" s="40">
        <v>3.35</v>
      </c>
      <c r="D53" s="41"/>
      <c r="E53" s="14"/>
      <c r="G53" s="11" t="s">
        <v>133</v>
      </c>
      <c r="H53" s="33">
        <v>27.56</v>
      </c>
      <c r="I53" s="33">
        <v>60.12</v>
      </c>
      <c r="J53" s="33">
        <v>11.59</v>
      </c>
      <c r="K53" s="33">
        <v>0.22</v>
      </c>
      <c r="L53" s="33">
        <v>25.27</v>
      </c>
      <c r="M53" s="33">
        <v>2.17</v>
      </c>
      <c r="N53" s="12">
        <v>90.67</v>
      </c>
    </row>
    <row r="54" spans="1:14" x14ac:dyDescent="0.45">
      <c r="A54" s="24"/>
      <c r="B54" s="39" t="s">
        <v>57</v>
      </c>
      <c r="C54" s="40">
        <v>5.39</v>
      </c>
      <c r="D54" s="41"/>
      <c r="E54" s="14"/>
      <c r="G54" s="11" t="s">
        <v>134</v>
      </c>
      <c r="H54" s="33">
        <v>28.48</v>
      </c>
      <c r="I54" s="33">
        <v>62.12</v>
      </c>
      <c r="J54" s="33">
        <v>11.04</v>
      </c>
      <c r="K54" s="33">
        <v>0.33</v>
      </c>
      <c r="L54" s="33">
        <v>5.28</v>
      </c>
      <c r="M54" s="33">
        <v>5.89</v>
      </c>
      <c r="N54" s="12">
        <v>83.17</v>
      </c>
    </row>
    <row r="55" spans="1:14" x14ac:dyDescent="0.45">
      <c r="A55" s="24"/>
      <c r="B55" s="39" t="s">
        <v>58</v>
      </c>
      <c r="C55" s="40">
        <v>16.010000000000002</v>
      </c>
      <c r="D55" s="41"/>
      <c r="E55" s="14"/>
      <c r="G55" s="11" t="s">
        <v>135</v>
      </c>
      <c r="H55" s="33">
        <v>27.56</v>
      </c>
      <c r="I55" s="33">
        <v>60.12</v>
      </c>
      <c r="J55" s="33">
        <v>11.34</v>
      </c>
      <c r="K55" s="33">
        <v>0.89</v>
      </c>
      <c r="L55" s="33">
        <v>0</v>
      </c>
      <c r="M55" s="33">
        <v>20.84</v>
      </c>
      <c r="N55" s="12">
        <v>72.55</v>
      </c>
    </row>
    <row r="56" spans="1:14" ht="14.65" thickBot="1" x14ac:dyDescent="0.5">
      <c r="A56" s="24"/>
      <c r="B56" s="42" t="s">
        <v>62</v>
      </c>
      <c r="C56" s="43">
        <f>396.34+183.16+147.5</f>
        <v>727</v>
      </c>
      <c r="D56" s="44"/>
      <c r="E56" s="15"/>
      <c r="G56" s="11" t="s">
        <v>136</v>
      </c>
      <c r="H56" s="33">
        <v>28.48</v>
      </c>
      <c r="I56" s="33">
        <v>62.12</v>
      </c>
      <c r="J56" s="33">
        <v>14.52</v>
      </c>
      <c r="K56" s="33">
        <v>1.88</v>
      </c>
      <c r="L56" s="33">
        <v>0</v>
      </c>
      <c r="M56" s="33">
        <v>51.41</v>
      </c>
      <c r="N56" s="12">
        <v>71.23</v>
      </c>
    </row>
    <row r="57" spans="1:14" ht="14.65" thickBot="1" x14ac:dyDescent="0.5">
      <c r="A57" s="24"/>
      <c r="B57" s="42" t="s">
        <v>38</v>
      </c>
      <c r="C57" s="8">
        <v>186.56</v>
      </c>
      <c r="D57" s="44">
        <f>C57/$C$2</f>
        <v>2.541689373297003</v>
      </c>
      <c r="E57" s="15">
        <f>C57/$C$3</f>
        <v>3.9820704375667022</v>
      </c>
      <c r="G57" s="11" t="s">
        <v>137</v>
      </c>
      <c r="H57" s="33">
        <v>28.48</v>
      </c>
      <c r="I57" s="33">
        <v>62.12</v>
      </c>
      <c r="J57" s="33">
        <v>14.84</v>
      </c>
      <c r="K57" s="33">
        <v>1.95</v>
      </c>
      <c r="L57" s="33">
        <v>0</v>
      </c>
      <c r="M57" s="33">
        <v>54.94</v>
      </c>
      <c r="N57" s="12">
        <v>70.37</v>
      </c>
    </row>
    <row r="58" spans="1:14" x14ac:dyDescent="0.45">
      <c r="A58" s="24"/>
      <c r="B58" s="42" t="s">
        <v>59</v>
      </c>
      <c r="C58" s="43">
        <v>2.93</v>
      </c>
      <c r="D58" s="43"/>
      <c r="E58" s="15"/>
      <c r="G58" s="11" t="s">
        <v>138</v>
      </c>
      <c r="H58" s="33">
        <v>27.56</v>
      </c>
      <c r="I58" s="33">
        <v>60.12</v>
      </c>
      <c r="J58" s="33">
        <v>13.44</v>
      </c>
      <c r="K58" s="33">
        <v>1.71</v>
      </c>
      <c r="L58" s="33">
        <v>0</v>
      </c>
      <c r="M58" s="33">
        <v>42.28</v>
      </c>
      <c r="N58" s="12">
        <v>70.41</v>
      </c>
    </row>
    <row r="59" spans="1:14" x14ac:dyDescent="0.45">
      <c r="A59" s="24"/>
      <c r="B59" s="42" t="s">
        <v>64</v>
      </c>
      <c r="C59" s="43">
        <v>1.84</v>
      </c>
      <c r="D59" s="43"/>
      <c r="E59" s="15"/>
      <c r="G59" s="11" t="s">
        <v>139</v>
      </c>
      <c r="H59" s="33">
        <v>28.48</v>
      </c>
      <c r="I59" s="33">
        <v>62.12</v>
      </c>
      <c r="J59" s="33">
        <v>10.9</v>
      </c>
      <c r="K59" s="33">
        <v>0.5</v>
      </c>
      <c r="L59" s="33">
        <v>0.26</v>
      </c>
      <c r="M59" s="33">
        <v>8.93</v>
      </c>
      <c r="N59" s="12">
        <v>78.88</v>
      </c>
    </row>
    <row r="60" spans="1:14" ht="14.65" thickBot="1" x14ac:dyDescent="0.5">
      <c r="A60" s="24"/>
      <c r="B60" s="42" t="s">
        <v>60</v>
      </c>
      <c r="C60" s="43">
        <v>4.09</v>
      </c>
      <c r="D60" s="43"/>
      <c r="E60" s="15"/>
      <c r="G60" s="11" t="s">
        <v>140</v>
      </c>
      <c r="H60" s="33">
        <v>27.56</v>
      </c>
      <c r="I60" s="33">
        <v>60.12</v>
      </c>
      <c r="J60" s="33">
        <v>12</v>
      </c>
      <c r="K60" s="33">
        <v>0.19</v>
      </c>
      <c r="L60" s="33">
        <v>41.59</v>
      </c>
      <c r="M60" s="33">
        <v>0.11</v>
      </c>
      <c r="N60" s="12">
        <v>92.98</v>
      </c>
    </row>
    <row r="61" spans="1:14" ht="14.65" thickBot="1" x14ac:dyDescent="0.5">
      <c r="A61" s="24"/>
      <c r="B61" s="45" t="s">
        <v>50</v>
      </c>
      <c r="C61" s="21">
        <f>153.03-20.03</f>
        <v>133</v>
      </c>
      <c r="D61" s="46"/>
      <c r="E61" s="74"/>
      <c r="G61" s="11" t="s">
        <v>141</v>
      </c>
      <c r="H61" s="33">
        <v>28.48</v>
      </c>
      <c r="I61" s="33">
        <v>62.12</v>
      </c>
      <c r="J61" s="33">
        <v>13.42</v>
      </c>
      <c r="K61" s="33">
        <v>0.26</v>
      </c>
      <c r="L61" s="33">
        <v>65.84</v>
      </c>
      <c r="M61" s="33">
        <v>0</v>
      </c>
      <c r="N61" s="12">
        <v>112.04</v>
      </c>
    </row>
    <row r="62" spans="1:14" ht="14.65" thickBot="1" x14ac:dyDescent="0.5">
      <c r="A62" s="24" t="s">
        <v>7</v>
      </c>
      <c r="B62" s="47" t="s">
        <v>66</v>
      </c>
      <c r="C62" s="23">
        <f>8.71*0.05</f>
        <v>0.43550000000000005</v>
      </c>
      <c r="D62" s="49"/>
      <c r="E62" s="16"/>
      <c r="G62" s="11"/>
      <c r="H62" s="33"/>
      <c r="I62" s="33"/>
      <c r="J62" s="33"/>
      <c r="K62" s="33"/>
      <c r="L62" s="33"/>
      <c r="M62" s="33"/>
      <c r="N62" s="12"/>
    </row>
    <row r="63" spans="1:14" ht="14.65" thickBot="1" x14ac:dyDescent="0.5">
      <c r="A63" s="24"/>
      <c r="B63" s="50" t="s">
        <v>63</v>
      </c>
      <c r="C63" s="51">
        <v>2363.75</v>
      </c>
      <c r="D63" s="51"/>
      <c r="E63" s="77"/>
      <c r="G63" s="18" t="s">
        <v>148</v>
      </c>
      <c r="H63" s="19">
        <v>335.31</v>
      </c>
      <c r="I63" s="19">
        <v>731.43</v>
      </c>
      <c r="J63" s="19">
        <v>153.03</v>
      </c>
      <c r="K63" s="19">
        <v>8.7100000000000009</v>
      </c>
      <c r="L63" s="19">
        <v>346.83</v>
      </c>
      <c r="M63" s="19">
        <v>186.56</v>
      </c>
      <c r="N63" s="34">
        <v>1093.23</v>
      </c>
    </row>
    <row r="64" spans="1:14" x14ac:dyDescent="0.45">
      <c r="A64" s="24"/>
      <c r="B64" s="50" t="s">
        <v>48</v>
      </c>
      <c r="C64" s="89">
        <v>985.62</v>
      </c>
      <c r="D64" s="53"/>
      <c r="E64" s="79"/>
    </row>
    <row r="65" spans="1:14" ht="14.65" thickBot="1" x14ac:dyDescent="0.5">
      <c r="A65" s="24"/>
      <c r="B65" s="50" t="s">
        <v>49</v>
      </c>
      <c r="C65" s="90">
        <v>107.61</v>
      </c>
      <c r="D65" s="51"/>
      <c r="E65" s="79"/>
    </row>
    <row r="66" spans="1:14" x14ac:dyDescent="0.45">
      <c r="A66" s="11"/>
      <c r="B66" s="54" t="s">
        <v>51</v>
      </c>
      <c r="C66" s="55">
        <f>C49+C50+C52+C57+C61+C62+C64+C65</f>
        <v>2826.7955000000002</v>
      </c>
      <c r="D66" s="56"/>
      <c r="E66" s="35"/>
    </row>
    <row r="67" spans="1:14" x14ac:dyDescent="0.45">
      <c r="A67" s="11"/>
      <c r="B67" s="33"/>
      <c r="C67" s="33"/>
      <c r="D67" s="33"/>
      <c r="E67" s="12"/>
    </row>
    <row r="68" spans="1:14" ht="15.75" x14ac:dyDescent="0.5">
      <c r="A68" s="24" t="s">
        <v>52</v>
      </c>
      <c r="B68" s="58" t="s">
        <v>40</v>
      </c>
      <c r="C68" s="59">
        <v>4060.7040000000002</v>
      </c>
      <c r="D68" s="33"/>
      <c r="E68" s="12"/>
    </row>
    <row r="69" spans="1:14" ht="15.75" x14ac:dyDescent="0.5">
      <c r="A69" s="24"/>
      <c r="B69" s="58" t="s">
        <v>41</v>
      </c>
      <c r="C69" s="60">
        <v>-167.43</v>
      </c>
      <c r="D69" s="33"/>
      <c r="E69" s="12"/>
    </row>
    <row r="70" spans="1:14" ht="15.75" x14ac:dyDescent="0.5">
      <c r="A70" s="24"/>
      <c r="B70" s="58" t="s">
        <v>42</v>
      </c>
      <c r="C70" s="60">
        <v>-116.8</v>
      </c>
      <c r="D70" s="33"/>
      <c r="E70" s="82"/>
    </row>
    <row r="71" spans="1:14" ht="15.75" x14ac:dyDescent="0.45">
      <c r="A71" s="24"/>
      <c r="B71" s="58" t="s">
        <v>43</v>
      </c>
      <c r="C71" s="61">
        <f>C68+C69+C70</f>
        <v>3776.4740000000002</v>
      </c>
      <c r="D71" s="33"/>
      <c r="E71" s="12"/>
    </row>
    <row r="72" spans="1:14" ht="15.75" x14ac:dyDescent="0.45">
      <c r="A72" s="24"/>
      <c r="B72" s="58" t="s">
        <v>44</v>
      </c>
      <c r="C72" s="62">
        <v>-1748.501</v>
      </c>
      <c r="D72" s="33"/>
      <c r="E72" s="12"/>
    </row>
    <row r="73" spans="1:14" ht="15.75" x14ac:dyDescent="0.5">
      <c r="A73" s="24"/>
      <c r="B73" s="58" t="s">
        <v>45</v>
      </c>
      <c r="C73" s="59">
        <f>C71+C72</f>
        <v>2027.9730000000002</v>
      </c>
      <c r="D73" s="33"/>
      <c r="E73" s="12"/>
    </row>
    <row r="74" spans="1:14" ht="15.75" x14ac:dyDescent="0.5">
      <c r="A74" s="24"/>
      <c r="B74" s="58" t="s">
        <v>46</v>
      </c>
      <c r="C74" s="60">
        <v>827.12099999999998</v>
      </c>
      <c r="D74" s="33"/>
      <c r="E74" s="12"/>
    </row>
    <row r="75" spans="1:14" ht="15.75" customHeight="1" x14ac:dyDescent="0.45">
      <c r="A75" s="24"/>
      <c r="B75" s="58" t="s">
        <v>47</v>
      </c>
      <c r="C75" s="61">
        <f>C73+C74</f>
        <v>2855.0940000000001</v>
      </c>
      <c r="D75" s="68" t="s">
        <v>158</v>
      </c>
      <c r="E75" s="83"/>
    </row>
    <row r="76" spans="1:14" x14ac:dyDescent="0.45">
      <c r="A76" s="11"/>
      <c r="B76" s="33"/>
      <c r="C76" s="33"/>
      <c r="D76" s="68"/>
      <c r="E76" s="83"/>
    </row>
    <row r="77" spans="1:14" x14ac:dyDescent="0.45">
      <c r="A77" s="11"/>
      <c r="B77" s="33"/>
      <c r="C77" s="33"/>
      <c r="D77" s="68"/>
      <c r="E77" s="83"/>
    </row>
    <row r="78" spans="1:14" ht="14.65" thickBot="1" x14ac:dyDescent="0.5">
      <c r="A78" s="18"/>
      <c r="B78" s="19"/>
      <c r="C78" s="19"/>
      <c r="D78" s="69"/>
      <c r="E78" s="84"/>
      <c r="F78" s="5"/>
    </row>
    <row r="80" spans="1:14" x14ac:dyDescent="0.45">
      <c r="A80" s="63" t="s">
        <v>152</v>
      </c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</row>
    <row r="81" spans="1:14" ht="14.65" thickBot="1" x14ac:dyDescent="0.5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</row>
    <row r="82" spans="1:14" x14ac:dyDescent="0.45">
      <c r="A82" s="29" t="s">
        <v>174</v>
      </c>
      <c r="B82" s="25"/>
      <c r="C82" s="25"/>
      <c r="D82" s="25"/>
      <c r="E82" s="26"/>
      <c r="G82" s="29" t="s">
        <v>174</v>
      </c>
      <c r="H82" s="25"/>
      <c r="I82" s="25"/>
      <c r="J82" s="25"/>
      <c r="K82" s="25"/>
      <c r="L82" s="25"/>
      <c r="M82" s="25"/>
      <c r="N82" s="26"/>
    </row>
    <row r="83" spans="1:14" x14ac:dyDescent="0.45">
      <c r="A83" s="30" t="s">
        <v>32</v>
      </c>
      <c r="B83" s="31"/>
      <c r="C83" s="31"/>
      <c r="D83" s="31"/>
      <c r="E83" s="27"/>
      <c r="G83" s="30" t="s">
        <v>149</v>
      </c>
      <c r="H83" s="31"/>
      <c r="I83" s="31"/>
      <c r="J83" s="31"/>
      <c r="K83" s="31"/>
      <c r="L83" s="31"/>
      <c r="M83" s="31"/>
      <c r="N83" s="27"/>
    </row>
    <row r="84" spans="1:14" x14ac:dyDescent="0.45">
      <c r="A84" s="24" t="s">
        <v>55</v>
      </c>
      <c r="B84" s="37" t="s">
        <v>33</v>
      </c>
      <c r="C84" s="38">
        <v>731.43</v>
      </c>
      <c r="D84" s="33"/>
      <c r="E84" s="12"/>
      <c r="G84" s="11"/>
      <c r="H84" s="32" t="s">
        <v>143</v>
      </c>
      <c r="I84" s="32" t="s">
        <v>142</v>
      </c>
      <c r="J84" s="32" t="s">
        <v>144</v>
      </c>
      <c r="K84" s="32" t="s">
        <v>145</v>
      </c>
      <c r="L84" s="32" t="s">
        <v>146</v>
      </c>
      <c r="M84" s="32" t="s">
        <v>147</v>
      </c>
      <c r="N84" s="13" t="s">
        <v>175</v>
      </c>
    </row>
    <row r="85" spans="1:14" x14ac:dyDescent="0.45">
      <c r="A85" s="24"/>
      <c r="B85" s="37" t="s">
        <v>34</v>
      </c>
      <c r="C85" s="38">
        <v>335.31</v>
      </c>
      <c r="D85" s="32" t="s">
        <v>35</v>
      </c>
      <c r="E85" s="13" t="s">
        <v>36</v>
      </c>
      <c r="G85" s="11" t="s">
        <v>130</v>
      </c>
      <c r="H85" s="33">
        <v>28.48</v>
      </c>
      <c r="I85" s="33">
        <v>62.12</v>
      </c>
      <c r="J85" s="33">
        <v>14.75</v>
      </c>
      <c r="K85" s="33">
        <v>0.34</v>
      </c>
      <c r="L85" s="33">
        <v>96.02</v>
      </c>
      <c r="M85" s="33">
        <v>0</v>
      </c>
      <c r="N85" s="12">
        <v>124.35</v>
      </c>
    </row>
    <row r="86" spans="1:14" ht="14.65" thickBot="1" x14ac:dyDescent="0.5">
      <c r="A86" s="24" t="s">
        <v>28</v>
      </c>
      <c r="B86" s="39" t="s">
        <v>61</v>
      </c>
      <c r="C86" s="41">
        <f>645.22+451.78+435.45</f>
        <v>1532.45</v>
      </c>
      <c r="D86" s="41"/>
      <c r="E86" s="14"/>
      <c r="G86" s="11" t="s">
        <v>131</v>
      </c>
      <c r="H86" s="33">
        <v>25.72</v>
      </c>
      <c r="I86" s="33">
        <v>56.11</v>
      </c>
      <c r="J86" s="33">
        <v>12.4</v>
      </c>
      <c r="K86" s="33">
        <v>0.24</v>
      </c>
      <c r="L86" s="33">
        <v>63.64</v>
      </c>
      <c r="M86" s="33">
        <v>0</v>
      </c>
      <c r="N86" s="12">
        <v>111.54</v>
      </c>
    </row>
    <row r="87" spans="1:14" ht="14.65" thickBot="1" x14ac:dyDescent="0.5">
      <c r="A87" s="24"/>
      <c r="B87" s="39" t="s">
        <v>37</v>
      </c>
      <c r="C87" s="7">
        <v>327.31</v>
      </c>
      <c r="D87" s="41">
        <f>C87/$C$2</f>
        <v>4.4592643051771121</v>
      </c>
      <c r="E87" s="14">
        <f>C87/$C$3</f>
        <v>6.9863393810032015</v>
      </c>
      <c r="G87" s="11" t="s">
        <v>132</v>
      </c>
      <c r="H87" s="33">
        <v>28.48</v>
      </c>
      <c r="I87" s="33">
        <v>62.12</v>
      </c>
      <c r="J87" s="33">
        <v>12.32</v>
      </c>
      <c r="K87" s="33">
        <v>0.18</v>
      </c>
      <c r="L87" s="33">
        <v>39.67</v>
      </c>
      <c r="M87" s="33">
        <v>0</v>
      </c>
      <c r="N87" s="12">
        <v>110.22</v>
      </c>
    </row>
    <row r="88" spans="1:14" x14ac:dyDescent="0.45">
      <c r="A88" s="24"/>
      <c r="B88" s="39" t="s">
        <v>56</v>
      </c>
      <c r="C88" s="40">
        <v>2.99</v>
      </c>
      <c r="D88" s="41"/>
      <c r="E88" s="14"/>
      <c r="G88" s="11" t="s">
        <v>133</v>
      </c>
      <c r="H88" s="33">
        <v>27.56</v>
      </c>
      <c r="I88" s="33">
        <v>60.12</v>
      </c>
      <c r="J88" s="33">
        <v>11.58</v>
      </c>
      <c r="K88" s="33">
        <v>0.23</v>
      </c>
      <c r="L88" s="33">
        <v>23.92</v>
      </c>
      <c r="M88" s="33">
        <v>2.34</v>
      </c>
      <c r="N88" s="12">
        <v>88.04</v>
      </c>
    </row>
    <row r="89" spans="1:14" x14ac:dyDescent="0.45">
      <c r="A89" s="24"/>
      <c r="B89" s="39" t="s">
        <v>57</v>
      </c>
      <c r="C89" s="40">
        <v>4.71</v>
      </c>
      <c r="D89" s="41"/>
      <c r="E89" s="14"/>
      <c r="G89" s="11" t="s">
        <v>134</v>
      </c>
      <c r="H89" s="33">
        <v>28.48</v>
      </c>
      <c r="I89" s="33">
        <v>62.12</v>
      </c>
      <c r="J89" s="33">
        <v>11.07</v>
      </c>
      <c r="K89" s="33">
        <v>0.39</v>
      </c>
      <c r="L89" s="33">
        <v>4.45</v>
      </c>
      <c r="M89" s="33">
        <v>7.38</v>
      </c>
      <c r="N89" s="12">
        <v>82.24</v>
      </c>
    </row>
    <row r="90" spans="1:14" x14ac:dyDescent="0.45">
      <c r="A90" s="24"/>
      <c r="B90" s="39" t="s">
        <v>58</v>
      </c>
      <c r="C90" s="40">
        <v>14.5</v>
      </c>
      <c r="D90" s="41"/>
      <c r="E90" s="14"/>
      <c r="G90" s="11" t="s">
        <v>135</v>
      </c>
      <c r="H90" s="33">
        <v>27.56</v>
      </c>
      <c r="I90" s="33">
        <v>60.12</v>
      </c>
      <c r="J90" s="33">
        <v>11.61</v>
      </c>
      <c r="K90" s="33">
        <v>1.01</v>
      </c>
      <c r="L90" s="33">
        <v>0</v>
      </c>
      <c r="M90" s="33">
        <v>24.04</v>
      </c>
      <c r="N90" s="12">
        <v>71.84</v>
      </c>
    </row>
    <row r="91" spans="1:14" ht="14.65" thickBot="1" x14ac:dyDescent="0.5">
      <c r="A91" s="24"/>
      <c r="B91" s="42" t="s">
        <v>62</v>
      </c>
      <c r="C91" s="44">
        <f>431.68+203.25+166.65</f>
        <v>801.58</v>
      </c>
      <c r="D91" s="44"/>
      <c r="E91" s="15"/>
      <c r="G91" s="11" t="s">
        <v>136</v>
      </c>
      <c r="H91" s="33">
        <v>28.48</v>
      </c>
      <c r="I91" s="33">
        <v>62.12</v>
      </c>
      <c r="J91" s="33">
        <v>14.85</v>
      </c>
      <c r="K91" s="33">
        <v>1.98</v>
      </c>
      <c r="L91" s="33">
        <v>0</v>
      </c>
      <c r="M91" s="33">
        <v>55.15</v>
      </c>
      <c r="N91" s="12">
        <v>70.47</v>
      </c>
    </row>
    <row r="92" spans="1:14" ht="14.65" thickBot="1" x14ac:dyDescent="0.5">
      <c r="A92" s="24"/>
      <c r="B92" s="42" t="s">
        <v>38</v>
      </c>
      <c r="C92" s="8">
        <v>204.54</v>
      </c>
      <c r="D92" s="44">
        <f>C92/$C$2</f>
        <v>2.7866485013623978</v>
      </c>
      <c r="E92" s="15">
        <f>C92/$C$3</f>
        <v>4.3658484525080041</v>
      </c>
      <c r="G92" s="11" t="s">
        <v>137</v>
      </c>
      <c r="H92" s="33">
        <v>28.48</v>
      </c>
      <c r="I92" s="33">
        <v>62.12</v>
      </c>
      <c r="J92" s="33">
        <v>15.19</v>
      </c>
      <c r="K92" s="33">
        <v>2.0499999999999998</v>
      </c>
      <c r="L92" s="33">
        <v>0</v>
      </c>
      <c r="M92" s="33">
        <v>58.69</v>
      </c>
      <c r="N92" s="12">
        <v>69.66</v>
      </c>
    </row>
    <row r="93" spans="1:14" x14ac:dyDescent="0.45">
      <c r="A93" s="24"/>
      <c r="B93" s="42" t="s">
        <v>59</v>
      </c>
      <c r="C93" s="43">
        <v>3.32</v>
      </c>
      <c r="D93" s="43"/>
      <c r="E93" s="15"/>
      <c r="G93" s="11" t="s">
        <v>138</v>
      </c>
      <c r="H93" s="33">
        <v>27.56</v>
      </c>
      <c r="I93" s="33">
        <v>60.12</v>
      </c>
      <c r="J93" s="33">
        <v>13.76</v>
      </c>
      <c r="K93" s="33">
        <v>1.83</v>
      </c>
      <c r="L93" s="33">
        <v>0</v>
      </c>
      <c r="M93" s="33">
        <v>46.04</v>
      </c>
      <c r="N93" s="12">
        <v>69.75</v>
      </c>
    </row>
    <row r="94" spans="1:14" x14ac:dyDescent="0.45">
      <c r="A94" s="24"/>
      <c r="B94" s="42" t="s">
        <v>64</v>
      </c>
      <c r="C94" s="43">
        <v>2.1800000000000002</v>
      </c>
      <c r="D94" s="43"/>
      <c r="E94" s="15"/>
      <c r="G94" s="11" t="s">
        <v>139</v>
      </c>
      <c r="H94" s="33">
        <v>28.48</v>
      </c>
      <c r="I94" s="33">
        <v>62.12</v>
      </c>
      <c r="J94" s="33">
        <v>11.02</v>
      </c>
      <c r="K94" s="33">
        <v>0.56999999999999995</v>
      </c>
      <c r="L94" s="33">
        <v>0.21</v>
      </c>
      <c r="M94" s="33">
        <v>10.65</v>
      </c>
      <c r="N94" s="12">
        <v>78.23</v>
      </c>
    </row>
    <row r="95" spans="1:14" ht="14.65" thickBot="1" x14ac:dyDescent="0.5">
      <c r="A95" s="24"/>
      <c r="B95" s="42" t="s">
        <v>60</v>
      </c>
      <c r="C95" s="43">
        <v>4.59</v>
      </c>
      <c r="D95" s="43"/>
      <c r="E95" s="15"/>
      <c r="G95" s="11" t="s">
        <v>140</v>
      </c>
      <c r="H95" s="33">
        <v>27.56</v>
      </c>
      <c r="I95" s="33">
        <v>60.12</v>
      </c>
      <c r="J95" s="33">
        <v>11.89</v>
      </c>
      <c r="K95" s="33">
        <v>0.18</v>
      </c>
      <c r="L95" s="33">
        <v>38.39</v>
      </c>
      <c r="M95" s="33">
        <v>0.25</v>
      </c>
      <c r="N95" s="12">
        <v>91.17</v>
      </c>
    </row>
    <row r="96" spans="1:14" ht="14.65" thickBot="1" x14ac:dyDescent="0.5">
      <c r="A96" s="24"/>
      <c r="B96" s="45" t="s">
        <v>50</v>
      </c>
      <c r="C96" s="21">
        <f>153.65-21.09</f>
        <v>132.56</v>
      </c>
      <c r="D96" s="46"/>
      <c r="E96" s="74"/>
      <c r="G96" s="11" t="s">
        <v>141</v>
      </c>
      <c r="H96" s="33">
        <v>28.48</v>
      </c>
      <c r="I96" s="33">
        <v>62.12</v>
      </c>
      <c r="J96" s="33">
        <v>13.21</v>
      </c>
      <c r="K96" s="33">
        <v>0.25</v>
      </c>
      <c r="L96" s="33">
        <v>61.01</v>
      </c>
      <c r="M96" s="33">
        <v>0</v>
      </c>
      <c r="N96" s="12">
        <v>109.93</v>
      </c>
    </row>
    <row r="97" spans="1:14" ht="14.65" thickBot="1" x14ac:dyDescent="0.5">
      <c r="A97" s="24" t="s">
        <v>7</v>
      </c>
      <c r="B97" s="47" t="s">
        <v>66</v>
      </c>
      <c r="C97" s="23">
        <f>9.24*0.05</f>
        <v>0.46200000000000002</v>
      </c>
      <c r="D97" s="49"/>
      <c r="E97" s="16"/>
      <c r="G97" s="11"/>
      <c r="H97" s="33"/>
      <c r="I97" s="33"/>
      <c r="J97" s="33"/>
      <c r="K97" s="33"/>
      <c r="L97" s="33"/>
      <c r="M97" s="33"/>
      <c r="N97" s="12"/>
    </row>
    <row r="98" spans="1:14" ht="14.65" thickBot="1" x14ac:dyDescent="0.5">
      <c r="A98" s="24"/>
      <c r="B98" s="50" t="s">
        <v>63</v>
      </c>
      <c r="C98" s="51">
        <v>2350.09</v>
      </c>
      <c r="D98" s="51"/>
      <c r="E98" s="77"/>
      <c r="G98" s="18" t="s">
        <v>148</v>
      </c>
      <c r="H98" s="19">
        <v>335.31</v>
      </c>
      <c r="I98" s="19">
        <v>731.43</v>
      </c>
      <c r="J98" s="19">
        <v>153.65</v>
      </c>
      <c r="K98" s="19">
        <v>9.24</v>
      </c>
      <c r="L98" s="19">
        <v>327.31</v>
      </c>
      <c r="M98" s="19">
        <v>204.54</v>
      </c>
      <c r="N98" s="34">
        <v>1077.44</v>
      </c>
    </row>
    <row r="99" spans="1:14" x14ac:dyDescent="0.45">
      <c r="A99" s="24"/>
      <c r="B99" s="50" t="s">
        <v>48</v>
      </c>
      <c r="C99" s="89">
        <v>978.41</v>
      </c>
      <c r="D99" s="53"/>
      <c r="E99" s="79"/>
    </row>
    <row r="100" spans="1:14" ht="14.65" thickBot="1" x14ac:dyDescent="0.5">
      <c r="A100" s="24"/>
      <c r="B100" s="50" t="s">
        <v>49</v>
      </c>
      <c r="C100" s="90">
        <v>99.03</v>
      </c>
      <c r="D100" s="51"/>
      <c r="E100" s="79"/>
    </row>
    <row r="101" spans="1:14" x14ac:dyDescent="0.45">
      <c r="A101" s="11"/>
      <c r="B101" s="54" t="s">
        <v>51</v>
      </c>
      <c r="C101" s="55">
        <f>C84+C85+C87+C92+C96+C97+C99+C100</f>
        <v>2809.0520000000001</v>
      </c>
      <c r="D101" s="56"/>
      <c r="E101" s="35"/>
    </row>
    <row r="102" spans="1:14" x14ac:dyDescent="0.45">
      <c r="A102" s="11"/>
      <c r="B102" s="33"/>
      <c r="C102" s="33"/>
      <c r="D102" s="33"/>
      <c r="E102" s="12"/>
    </row>
    <row r="103" spans="1:14" ht="15.75" x14ac:dyDescent="0.5">
      <c r="A103" s="24" t="s">
        <v>52</v>
      </c>
      <c r="B103" s="58" t="s">
        <v>40</v>
      </c>
      <c r="C103" s="59">
        <v>4055.7890000000002</v>
      </c>
      <c r="D103" s="33"/>
      <c r="E103" s="12"/>
    </row>
    <row r="104" spans="1:14" ht="15.75" x14ac:dyDescent="0.5">
      <c r="A104" s="24"/>
      <c r="B104" s="58" t="s">
        <v>41</v>
      </c>
      <c r="C104" s="60">
        <v>-167.44</v>
      </c>
      <c r="D104" s="33"/>
      <c r="E104" s="12"/>
    </row>
    <row r="105" spans="1:14" ht="15.75" x14ac:dyDescent="0.5">
      <c r="A105" s="24"/>
      <c r="B105" s="58" t="s">
        <v>42</v>
      </c>
      <c r="C105" s="60">
        <v>-116.65</v>
      </c>
      <c r="D105" s="33"/>
      <c r="E105" s="82"/>
    </row>
    <row r="106" spans="1:14" ht="15.75" x14ac:dyDescent="0.45">
      <c r="A106" s="24"/>
      <c r="B106" s="58" t="s">
        <v>43</v>
      </c>
      <c r="C106" s="61">
        <f>C103+C104+C105</f>
        <v>3771.6990000000001</v>
      </c>
      <c r="D106" s="33"/>
      <c r="E106" s="12"/>
    </row>
    <row r="107" spans="1:14" ht="15.75" x14ac:dyDescent="0.45">
      <c r="A107" s="24"/>
      <c r="B107" s="58" t="s">
        <v>44</v>
      </c>
      <c r="C107" s="62">
        <v>-1744.5129999999999</v>
      </c>
      <c r="D107" s="33"/>
      <c r="E107" s="12"/>
    </row>
    <row r="108" spans="1:14" ht="15.75" x14ac:dyDescent="0.5">
      <c r="A108" s="24"/>
      <c r="B108" s="58" t="s">
        <v>45</v>
      </c>
      <c r="C108" s="59">
        <f>C106+C107</f>
        <v>2027.1860000000001</v>
      </c>
      <c r="D108" s="33"/>
      <c r="E108" s="12"/>
    </row>
    <row r="109" spans="1:14" ht="15.75" x14ac:dyDescent="0.5">
      <c r="A109" s="24"/>
      <c r="B109" s="58" t="s">
        <v>46</v>
      </c>
      <c r="C109" s="60">
        <v>811.75099999999998</v>
      </c>
      <c r="D109" s="33"/>
      <c r="E109" s="12"/>
    </row>
    <row r="110" spans="1:14" ht="15.75" customHeight="1" x14ac:dyDescent="0.45">
      <c r="A110" s="24"/>
      <c r="B110" s="58" t="s">
        <v>47</v>
      </c>
      <c r="C110" s="61">
        <f>C108+C109</f>
        <v>2838.9369999999999</v>
      </c>
      <c r="D110" s="68" t="s">
        <v>159</v>
      </c>
      <c r="E110" s="83"/>
    </row>
    <row r="111" spans="1:14" x14ac:dyDescent="0.45">
      <c r="A111" s="11"/>
      <c r="B111" s="33"/>
      <c r="C111" s="33"/>
      <c r="D111" s="68"/>
      <c r="E111" s="83"/>
    </row>
    <row r="112" spans="1:14" x14ac:dyDescent="0.45">
      <c r="A112" s="11"/>
      <c r="B112" s="33"/>
      <c r="C112" s="33"/>
      <c r="D112" s="68"/>
      <c r="E112" s="83"/>
    </row>
    <row r="113" spans="1:14" ht="14.65" thickBot="1" x14ac:dyDescent="0.5">
      <c r="A113" s="18"/>
      <c r="B113" s="19"/>
      <c r="C113" s="19"/>
      <c r="D113" s="69"/>
      <c r="E113" s="84"/>
      <c r="F113" s="5"/>
    </row>
    <row r="115" spans="1:14" x14ac:dyDescent="0.45">
      <c r="A115" s="63" t="s">
        <v>153</v>
      </c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</row>
    <row r="116" spans="1:14" ht="14.65" thickBot="1" x14ac:dyDescent="0.5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</row>
    <row r="117" spans="1:14" x14ac:dyDescent="0.45">
      <c r="A117" s="29" t="s">
        <v>174</v>
      </c>
      <c r="B117" s="25"/>
      <c r="C117" s="25"/>
      <c r="D117" s="25"/>
      <c r="E117" s="26"/>
      <c r="G117" s="29" t="s">
        <v>174</v>
      </c>
      <c r="H117" s="25"/>
      <c r="I117" s="25"/>
      <c r="J117" s="25"/>
      <c r="K117" s="25"/>
      <c r="L117" s="25"/>
      <c r="M117" s="25"/>
      <c r="N117" s="26"/>
    </row>
    <row r="118" spans="1:14" x14ac:dyDescent="0.45">
      <c r="A118" s="30" t="s">
        <v>32</v>
      </c>
      <c r="B118" s="31"/>
      <c r="C118" s="31"/>
      <c r="D118" s="31"/>
      <c r="E118" s="27"/>
      <c r="G118" s="30" t="s">
        <v>149</v>
      </c>
      <c r="H118" s="31"/>
      <c r="I118" s="31"/>
      <c r="J118" s="31"/>
      <c r="K118" s="31"/>
      <c r="L118" s="31"/>
      <c r="M118" s="31"/>
      <c r="N118" s="27"/>
    </row>
    <row r="119" spans="1:14" x14ac:dyDescent="0.45">
      <c r="A119" s="24" t="s">
        <v>55</v>
      </c>
      <c r="B119" s="37" t="s">
        <v>33</v>
      </c>
      <c r="C119" s="38">
        <v>731.43</v>
      </c>
      <c r="D119" s="33"/>
      <c r="E119" s="12"/>
      <c r="G119" s="11"/>
      <c r="H119" s="32" t="s">
        <v>143</v>
      </c>
      <c r="I119" s="32" t="s">
        <v>142</v>
      </c>
      <c r="J119" s="32" t="s">
        <v>144</v>
      </c>
      <c r="K119" s="32" t="s">
        <v>145</v>
      </c>
      <c r="L119" s="32" t="s">
        <v>146</v>
      </c>
      <c r="M119" s="32" t="s">
        <v>147</v>
      </c>
      <c r="N119" s="13" t="s">
        <v>175</v>
      </c>
    </row>
    <row r="120" spans="1:14" x14ac:dyDescent="0.45">
      <c r="A120" s="24"/>
      <c r="B120" s="37" t="s">
        <v>34</v>
      </c>
      <c r="C120" s="38">
        <v>335.31</v>
      </c>
      <c r="D120" s="32" t="s">
        <v>35</v>
      </c>
      <c r="E120" s="13" t="s">
        <v>36</v>
      </c>
      <c r="G120" s="11" t="s">
        <v>130</v>
      </c>
      <c r="H120" s="33">
        <v>28.48</v>
      </c>
      <c r="I120" s="33">
        <v>62.12</v>
      </c>
      <c r="J120" s="33">
        <v>13.89</v>
      </c>
      <c r="K120" s="33">
        <v>0.28999999999999998</v>
      </c>
      <c r="L120" s="33">
        <v>77.260000000000005</v>
      </c>
      <c r="M120" s="33">
        <v>0</v>
      </c>
      <c r="N120" s="12">
        <v>115.01</v>
      </c>
    </row>
    <row r="121" spans="1:14" ht="14.65" thickBot="1" x14ac:dyDescent="0.5">
      <c r="A121" s="24" t="s">
        <v>28</v>
      </c>
      <c r="B121" s="39" t="s">
        <v>61</v>
      </c>
      <c r="C121" s="41">
        <f>497.19+340.97+325.21</f>
        <v>1163.3700000000001</v>
      </c>
      <c r="D121" s="41"/>
      <c r="E121" s="14"/>
      <c r="G121" s="11" t="s">
        <v>131</v>
      </c>
      <c r="H121" s="33">
        <v>25.72</v>
      </c>
      <c r="I121" s="33">
        <v>56.11</v>
      </c>
      <c r="J121" s="33">
        <v>11.83</v>
      </c>
      <c r="K121" s="33">
        <v>0.2</v>
      </c>
      <c r="L121" s="33">
        <v>49.79</v>
      </c>
      <c r="M121" s="33">
        <v>0</v>
      </c>
      <c r="N121" s="12">
        <v>101.17</v>
      </c>
    </row>
    <row r="122" spans="1:14" ht="14.65" thickBot="1" x14ac:dyDescent="0.5">
      <c r="A122" s="24"/>
      <c r="B122" s="39" t="s">
        <v>37</v>
      </c>
      <c r="C122" s="7">
        <v>240.38</v>
      </c>
      <c r="D122" s="41">
        <f>C122/$C$2</f>
        <v>3.2749318801089919</v>
      </c>
      <c r="E122" s="14">
        <f>C122/$C$3</f>
        <v>5.130843116328708</v>
      </c>
      <c r="G122" s="11" t="s">
        <v>132</v>
      </c>
      <c r="H122" s="33">
        <v>28.48</v>
      </c>
      <c r="I122" s="33">
        <v>62.12</v>
      </c>
      <c r="J122" s="33">
        <v>11.99</v>
      </c>
      <c r="K122" s="33">
        <v>0.14000000000000001</v>
      </c>
      <c r="L122" s="33">
        <v>28.14</v>
      </c>
      <c r="M122" s="33">
        <v>0</v>
      </c>
      <c r="N122" s="12">
        <v>93.86</v>
      </c>
    </row>
    <row r="123" spans="1:14" x14ac:dyDescent="0.45">
      <c r="A123" s="24"/>
      <c r="B123" s="39" t="s">
        <v>56</v>
      </c>
      <c r="C123" s="40">
        <v>1.54</v>
      </c>
      <c r="D123" s="41"/>
      <c r="E123" s="14"/>
      <c r="G123" s="11" t="s">
        <v>133</v>
      </c>
      <c r="H123" s="33">
        <v>27.56</v>
      </c>
      <c r="I123" s="33">
        <v>60.12</v>
      </c>
      <c r="J123" s="33">
        <v>11.25</v>
      </c>
      <c r="K123" s="33">
        <v>0.35</v>
      </c>
      <c r="L123" s="33">
        <v>15.25</v>
      </c>
      <c r="M123" s="33">
        <v>5.96</v>
      </c>
      <c r="N123" s="12">
        <v>82.54</v>
      </c>
    </row>
    <row r="124" spans="1:14" x14ac:dyDescent="0.45">
      <c r="A124" s="24"/>
      <c r="B124" s="39" t="s">
        <v>57</v>
      </c>
      <c r="C124" s="40">
        <v>2.58</v>
      </c>
      <c r="D124" s="41"/>
      <c r="E124" s="14"/>
      <c r="G124" s="11" t="s">
        <v>134</v>
      </c>
      <c r="H124" s="33">
        <v>28.48</v>
      </c>
      <c r="I124" s="33">
        <v>62.12</v>
      </c>
      <c r="J124" s="33">
        <v>11.56</v>
      </c>
      <c r="K124" s="33">
        <v>0.75</v>
      </c>
      <c r="L124" s="33">
        <v>1.39</v>
      </c>
      <c r="M124" s="33">
        <v>17</v>
      </c>
      <c r="N124" s="12">
        <v>77.39</v>
      </c>
    </row>
    <row r="125" spans="1:14" x14ac:dyDescent="0.45">
      <c r="A125" s="24"/>
      <c r="B125" s="39" t="s">
        <v>58</v>
      </c>
      <c r="C125" s="40">
        <v>9.2200000000000006</v>
      </c>
      <c r="D125" s="41"/>
      <c r="E125" s="14"/>
      <c r="G125" s="11" t="s">
        <v>135</v>
      </c>
      <c r="H125" s="33">
        <v>27.56</v>
      </c>
      <c r="I125" s="33">
        <v>60.12</v>
      </c>
      <c r="J125" s="33">
        <v>13.28</v>
      </c>
      <c r="K125" s="33">
        <v>1.66</v>
      </c>
      <c r="L125" s="33">
        <v>0</v>
      </c>
      <c r="M125" s="33">
        <v>44.95</v>
      </c>
      <c r="N125" s="12">
        <v>66.5</v>
      </c>
    </row>
    <row r="126" spans="1:14" ht="14.65" thickBot="1" x14ac:dyDescent="0.5">
      <c r="A126" s="24"/>
      <c r="B126" s="42" t="s">
        <v>62</v>
      </c>
      <c r="C126" s="44">
        <f>671.56+351.71+314.09</f>
        <v>1337.36</v>
      </c>
      <c r="D126" s="44"/>
      <c r="E126" s="15"/>
      <c r="G126" s="11" t="s">
        <v>136</v>
      </c>
      <c r="H126" s="33">
        <v>28.48</v>
      </c>
      <c r="I126" s="33">
        <v>62.12</v>
      </c>
      <c r="J126" s="33">
        <v>16.97</v>
      </c>
      <c r="K126" s="33">
        <v>2.54</v>
      </c>
      <c r="L126" s="33">
        <v>0</v>
      </c>
      <c r="M126" s="33">
        <v>79.5</v>
      </c>
      <c r="N126" s="12">
        <v>65.08</v>
      </c>
    </row>
    <row r="127" spans="1:14" ht="14.65" thickBot="1" x14ac:dyDescent="0.5">
      <c r="A127" s="24"/>
      <c r="B127" s="42" t="s">
        <v>38</v>
      </c>
      <c r="C127" s="8">
        <v>330.69</v>
      </c>
      <c r="D127" s="44">
        <f>C127/$C$2</f>
        <v>4.5053133514986383</v>
      </c>
      <c r="E127" s="15">
        <f>C127/$C$3</f>
        <v>7.0584845250800425</v>
      </c>
      <c r="G127" s="11" t="s">
        <v>137</v>
      </c>
      <c r="H127" s="33">
        <v>28.48</v>
      </c>
      <c r="I127" s="33">
        <v>62.12</v>
      </c>
      <c r="J127" s="33">
        <v>17.3</v>
      </c>
      <c r="K127" s="33">
        <v>2.65</v>
      </c>
      <c r="L127" s="33">
        <v>0</v>
      </c>
      <c r="M127" s="33">
        <v>83.79</v>
      </c>
      <c r="N127" s="12">
        <v>64.400000000000006</v>
      </c>
    </row>
    <row r="128" spans="1:14" x14ac:dyDescent="0.45">
      <c r="A128" s="24"/>
      <c r="B128" s="42" t="s">
        <v>59</v>
      </c>
      <c r="C128" s="43">
        <v>6.28</v>
      </c>
      <c r="D128" s="43"/>
      <c r="E128" s="15"/>
      <c r="G128" s="11" t="s">
        <v>138</v>
      </c>
      <c r="H128" s="33">
        <v>27.56</v>
      </c>
      <c r="I128" s="33">
        <v>60.12</v>
      </c>
      <c r="J128" s="33">
        <v>16.23</v>
      </c>
      <c r="K128" s="33">
        <v>2.54</v>
      </c>
      <c r="L128" s="33">
        <v>0</v>
      </c>
      <c r="M128" s="33">
        <v>74.22</v>
      </c>
      <c r="N128" s="12">
        <v>64.959999999999994</v>
      </c>
    </row>
    <row r="129" spans="1:14" x14ac:dyDescent="0.45">
      <c r="A129" s="24"/>
      <c r="B129" s="42" t="s">
        <v>64</v>
      </c>
      <c r="C129" s="43">
        <v>5.03</v>
      </c>
      <c r="D129" s="43"/>
      <c r="E129" s="15"/>
      <c r="G129" s="11" t="s">
        <v>139</v>
      </c>
      <c r="H129" s="33">
        <v>28.48</v>
      </c>
      <c r="I129" s="33">
        <v>62.12</v>
      </c>
      <c r="J129" s="33">
        <v>11.84</v>
      </c>
      <c r="K129" s="33">
        <v>1.05</v>
      </c>
      <c r="L129" s="33">
        <v>0.02</v>
      </c>
      <c r="M129" s="33">
        <v>22.89</v>
      </c>
      <c r="N129" s="12">
        <v>73.72</v>
      </c>
    </row>
    <row r="130" spans="1:14" ht="14.65" thickBot="1" x14ac:dyDescent="0.5">
      <c r="A130" s="24"/>
      <c r="B130" s="42" t="s">
        <v>60</v>
      </c>
      <c r="C130" s="43">
        <v>10.55</v>
      </c>
      <c r="D130" s="43"/>
      <c r="E130" s="15"/>
      <c r="G130" s="11" t="s">
        <v>140</v>
      </c>
      <c r="H130" s="33">
        <v>27.56</v>
      </c>
      <c r="I130" s="33">
        <v>60.12</v>
      </c>
      <c r="J130" s="33">
        <v>11.29</v>
      </c>
      <c r="K130" s="33">
        <v>0.24</v>
      </c>
      <c r="L130" s="33">
        <v>24.09</v>
      </c>
      <c r="M130" s="33">
        <v>2.39</v>
      </c>
      <c r="N130" s="12">
        <v>82.99</v>
      </c>
    </row>
    <row r="131" spans="1:14" ht="14.65" thickBot="1" x14ac:dyDescent="0.5">
      <c r="A131" s="24"/>
      <c r="B131" s="45" t="s">
        <v>50</v>
      </c>
      <c r="C131" s="21">
        <f>159.91-29.1</f>
        <v>130.81</v>
      </c>
      <c r="D131" s="46"/>
      <c r="E131" s="74"/>
      <c r="G131" s="11" t="s">
        <v>141</v>
      </c>
      <c r="H131" s="33">
        <v>28.48</v>
      </c>
      <c r="I131" s="33">
        <v>62.12</v>
      </c>
      <c r="J131" s="33">
        <v>12.47</v>
      </c>
      <c r="K131" s="33">
        <v>0.19</v>
      </c>
      <c r="L131" s="33">
        <v>44.44</v>
      </c>
      <c r="M131" s="33">
        <v>0</v>
      </c>
      <c r="N131" s="12">
        <v>97.48</v>
      </c>
    </row>
    <row r="132" spans="1:14" ht="14.65" thickBot="1" x14ac:dyDescent="0.5">
      <c r="A132" s="24" t="s">
        <v>7</v>
      </c>
      <c r="B132" s="47" t="s">
        <v>66</v>
      </c>
      <c r="C132" s="23">
        <f>12.6*0.05</f>
        <v>0.63</v>
      </c>
      <c r="D132" s="49"/>
      <c r="E132" s="16"/>
      <c r="G132" s="11"/>
      <c r="H132" s="33"/>
      <c r="I132" s="33"/>
      <c r="J132" s="33"/>
      <c r="K132" s="33"/>
      <c r="L132" s="33"/>
      <c r="M132" s="33"/>
      <c r="N132" s="12"/>
    </row>
    <row r="133" spans="1:14" ht="14.65" thickBot="1" x14ac:dyDescent="0.5">
      <c r="A133" s="24"/>
      <c r="B133" s="50" t="s">
        <v>63</v>
      </c>
      <c r="C133" s="51">
        <v>2261.3000000000002</v>
      </c>
      <c r="D133" s="51"/>
      <c r="E133" s="77"/>
      <c r="G133" s="18" t="s">
        <v>148</v>
      </c>
      <c r="H133" s="19">
        <v>335.31</v>
      </c>
      <c r="I133" s="19">
        <v>731.43</v>
      </c>
      <c r="J133" s="19">
        <v>159.91</v>
      </c>
      <c r="K133" s="19">
        <v>12.6</v>
      </c>
      <c r="L133" s="19">
        <v>240.38</v>
      </c>
      <c r="M133" s="19">
        <v>330.69</v>
      </c>
      <c r="N133" s="34">
        <v>985.09</v>
      </c>
    </row>
    <row r="134" spans="1:14" x14ac:dyDescent="0.45">
      <c r="A134" s="24"/>
      <c r="B134" s="50" t="s">
        <v>48</v>
      </c>
      <c r="C134" s="89">
        <v>935.66</v>
      </c>
      <c r="D134" s="53"/>
      <c r="E134" s="79"/>
    </row>
    <row r="135" spans="1:14" ht="14.65" thickBot="1" x14ac:dyDescent="0.5">
      <c r="A135" s="24"/>
      <c r="B135" s="50" t="s">
        <v>49</v>
      </c>
      <c r="C135" s="90">
        <v>49.44</v>
      </c>
      <c r="D135" s="51"/>
      <c r="E135" s="79"/>
    </row>
    <row r="136" spans="1:14" x14ac:dyDescent="0.45">
      <c r="A136" s="11"/>
      <c r="B136" s="54" t="s">
        <v>51</v>
      </c>
      <c r="C136" s="55">
        <f>C119+C120+C122+C127+C131+C132+C134+C135</f>
        <v>2754.35</v>
      </c>
      <c r="D136" s="56"/>
      <c r="E136" s="35"/>
    </row>
    <row r="137" spans="1:14" x14ac:dyDescent="0.45">
      <c r="A137" s="11"/>
      <c r="B137" s="33"/>
      <c r="C137" s="33"/>
      <c r="D137" s="33"/>
      <c r="E137" s="12"/>
    </row>
    <row r="138" spans="1:14" ht="15.75" x14ac:dyDescent="0.5">
      <c r="A138" s="24" t="s">
        <v>52</v>
      </c>
      <c r="B138" s="58" t="s">
        <v>40</v>
      </c>
      <c r="C138" s="59">
        <v>4102.5609999999997</v>
      </c>
      <c r="D138" s="33"/>
      <c r="E138" s="12"/>
    </row>
    <row r="139" spans="1:14" ht="15.75" x14ac:dyDescent="0.5">
      <c r="A139" s="24"/>
      <c r="B139" s="58" t="s">
        <v>41</v>
      </c>
      <c r="C139" s="60">
        <v>-168.14</v>
      </c>
      <c r="D139" s="33"/>
      <c r="E139" s="12"/>
    </row>
    <row r="140" spans="1:14" ht="15.75" x14ac:dyDescent="0.5">
      <c r="A140" s="24"/>
      <c r="B140" s="58" t="s">
        <v>42</v>
      </c>
      <c r="C140" s="60">
        <v>-118.03</v>
      </c>
      <c r="D140" s="33"/>
      <c r="E140" s="82"/>
    </row>
    <row r="141" spans="1:14" ht="15.75" x14ac:dyDescent="0.45">
      <c r="A141" s="24"/>
      <c r="B141" s="58" t="s">
        <v>43</v>
      </c>
      <c r="C141" s="61">
        <f>C138+C139+C140</f>
        <v>3816.3909999999996</v>
      </c>
      <c r="D141" s="33"/>
      <c r="E141" s="12"/>
    </row>
    <row r="142" spans="1:14" ht="15.75" x14ac:dyDescent="0.45">
      <c r="A142" s="24"/>
      <c r="B142" s="58" t="s">
        <v>44</v>
      </c>
      <c r="C142" s="62">
        <v>-1785.4760000000001</v>
      </c>
      <c r="D142" s="33"/>
      <c r="E142" s="12"/>
    </row>
    <row r="143" spans="1:14" ht="15.75" x14ac:dyDescent="0.5">
      <c r="A143" s="24"/>
      <c r="B143" s="58" t="s">
        <v>45</v>
      </c>
      <c r="C143" s="59">
        <f>C141+C142</f>
        <v>2030.9149999999995</v>
      </c>
      <c r="D143" s="33"/>
      <c r="E143" s="12"/>
    </row>
    <row r="144" spans="1:14" ht="15.75" x14ac:dyDescent="0.5">
      <c r="A144" s="24"/>
      <c r="B144" s="58" t="s">
        <v>46</v>
      </c>
      <c r="C144" s="60">
        <v>764.505</v>
      </c>
      <c r="D144" s="33"/>
      <c r="E144" s="12"/>
    </row>
    <row r="145" spans="1:6" ht="15.75" customHeight="1" x14ac:dyDescent="0.45">
      <c r="A145" s="24"/>
      <c r="B145" s="58" t="s">
        <v>47</v>
      </c>
      <c r="C145" s="61">
        <f>C143+C144</f>
        <v>2795.4199999999996</v>
      </c>
      <c r="D145" s="68" t="s">
        <v>176</v>
      </c>
      <c r="E145" s="83"/>
    </row>
    <row r="146" spans="1:6" x14ac:dyDescent="0.45">
      <c r="A146" s="11"/>
      <c r="B146" s="33"/>
      <c r="C146" s="33"/>
      <c r="D146" s="68"/>
      <c r="E146" s="83"/>
    </row>
    <row r="147" spans="1:6" x14ac:dyDescent="0.45">
      <c r="A147" s="11"/>
      <c r="B147" s="33"/>
      <c r="C147" s="33"/>
      <c r="D147" s="68"/>
      <c r="E147" s="83"/>
    </row>
    <row r="148" spans="1:6" ht="14.65" thickBot="1" x14ac:dyDescent="0.5">
      <c r="A148" s="18"/>
      <c r="B148" s="19"/>
      <c r="C148" s="19"/>
      <c r="D148" s="69"/>
      <c r="E148" s="84"/>
      <c r="F148" s="5"/>
    </row>
  </sheetData>
  <mergeCells count="41">
    <mergeCell ref="A121:A131"/>
    <mergeCell ref="A132:A135"/>
    <mergeCell ref="A138:A145"/>
    <mergeCell ref="D145:E148"/>
    <mergeCell ref="A47:E47"/>
    <mergeCell ref="A48:E48"/>
    <mergeCell ref="A82:E82"/>
    <mergeCell ref="A83:E83"/>
    <mergeCell ref="A117:E117"/>
    <mergeCell ref="A118:E118"/>
    <mergeCell ref="A115:N116"/>
    <mergeCell ref="G117:N117"/>
    <mergeCell ref="G118:N118"/>
    <mergeCell ref="A119:A120"/>
    <mergeCell ref="G83:N83"/>
    <mergeCell ref="A84:A85"/>
    <mergeCell ref="A86:A96"/>
    <mergeCell ref="A97:A100"/>
    <mergeCell ref="A103:A110"/>
    <mergeCell ref="D110:E113"/>
    <mergeCell ref="A62:A65"/>
    <mergeCell ref="A68:A75"/>
    <mergeCell ref="D75:E78"/>
    <mergeCell ref="A80:N81"/>
    <mergeCell ref="G82:N82"/>
    <mergeCell ref="G47:N47"/>
    <mergeCell ref="G48:N48"/>
    <mergeCell ref="A49:A50"/>
    <mergeCell ref="A51:A61"/>
    <mergeCell ref="A11:A21"/>
    <mergeCell ref="A22:A25"/>
    <mergeCell ref="A28:A35"/>
    <mergeCell ref="D35:E38"/>
    <mergeCell ref="D39:E42"/>
    <mergeCell ref="A45:N46"/>
    <mergeCell ref="A5:N6"/>
    <mergeCell ref="G7:N7"/>
    <mergeCell ref="G8:N8"/>
    <mergeCell ref="A9:A10"/>
    <mergeCell ref="A7:E7"/>
    <mergeCell ref="A8:E8"/>
  </mergeCell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E221C-A473-4D89-A171-21E6DEF36138}">
  <dimension ref="A1:N148"/>
  <sheetViews>
    <sheetView zoomScaleNormal="100" workbookViewId="0">
      <selection activeCell="B1" sqref="B1"/>
    </sheetView>
  </sheetViews>
  <sheetFormatPr defaultRowHeight="14.25" x14ac:dyDescent="0.45"/>
  <cols>
    <col min="1" max="1" width="3.33203125" customWidth="1"/>
    <col min="2" max="2" width="50.265625" bestFit="1" customWidth="1"/>
    <col min="3" max="3" width="9.3984375" bestFit="1" customWidth="1"/>
    <col min="4" max="4" width="14.06640625" customWidth="1"/>
    <col min="5" max="5" width="18.1328125" customWidth="1"/>
    <col min="6" max="6" width="9.06640625" customWidth="1"/>
    <col min="7" max="7" width="10" bestFit="1" customWidth="1"/>
    <col min="8" max="8" width="17" bestFit="1" customWidth="1"/>
    <col min="9" max="9" width="19.46484375" bestFit="1" customWidth="1"/>
    <col min="10" max="10" width="14.53125" bestFit="1" customWidth="1"/>
    <col min="11" max="11" width="16.265625" bestFit="1" customWidth="1"/>
    <col min="12" max="12" width="17" bestFit="1" customWidth="1"/>
    <col min="13" max="13" width="16.9296875" bestFit="1" customWidth="1"/>
    <col min="14" max="14" width="16.33203125" bestFit="1" customWidth="1"/>
  </cols>
  <sheetData>
    <row r="1" spans="1:14" x14ac:dyDescent="0.45">
      <c r="B1" t="s">
        <v>29</v>
      </c>
    </row>
    <row r="2" spans="1:14" x14ac:dyDescent="0.45">
      <c r="B2" t="s">
        <v>30</v>
      </c>
      <c r="C2">
        <f>3.66+3.16+9.24+3.27+7.22+19.38+11.69+15.78</f>
        <v>73.399999999999991</v>
      </c>
    </row>
    <row r="3" spans="1:14" x14ac:dyDescent="0.45">
      <c r="B3" t="s">
        <v>31</v>
      </c>
      <c r="C3">
        <f>19.38+11.69+15.78</f>
        <v>46.85</v>
      </c>
    </row>
    <row r="5" spans="1:14" x14ac:dyDescent="0.45">
      <c r="A5" s="63" t="s">
        <v>154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</row>
    <row r="6" spans="1:14" ht="14.65" thickBot="1" x14ac:dyDescent="0.5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</row>
    <row r="7" spans="1:14" x14ac:dyDescent="0.45">
      <c r="A7" s="29" t="s">
        <v>177</v>
      </c>
      <c r="B7" s="25"/>
      <c r="C7" s="25"/>
      <c r="D7" s="25"/>
      <c r="E7" s="26"/>
      <c r="G7" s="29" t="s">
        <v>177</v>
      </c>
      <c r="H7" s="25"/>
      <c r="I7" s="25"/>
      <c r="J7" s="25"/>
      <c r="K7" s="25"/>
      <c r="L7" s="25"/>
      <c r="M7" s="25"/>
      <c r="N7" s="26"/>
    </row>
    <row r="8" spans="1:14" x14ac:dyDescent="0.45">
      <c r="A8" s="30" t="s">
        <v>32</v>
      </c>
      <c r="B8" s="31"/>
      <c r="C8" s="31"/>
      <c r="D8" s="31"/>
      <c r="E8" s="27"/>
      <c r="G8" s="30" t="s">
        <v>149</v>
      </c>
      <c r="H8" s="31"/>
      <c r="I8" s="31"/>
      <c r="J8" s="31"/>
      <c r="K8" s="31"/>
      <c r="L8" s="31"/>
      <c r="M8" s="31"/>
      <c r="N8" s="27"/>
    </row>
    <row r="9" spans="1:14" x14ac:dyDescent="0.45">
      <c r="A9" s="24" t="s">
        <v>55</v>
      </c>
      <c r="B9" s="37" t="s">
        <v>33</v>
      </c>
      <c r="C9" s="38">
        <v>731.43</v>
      </c>
      <c r="D9" s="33"/>
      <c r="E9" s="12"/>
      <c r="G9" s="11"/>
      <c r="H9" s="32" t="s">
        <v>143</v>
      </c>
      <c r="I9" s="32" t="s">
        <v>142</v>
      </c>
      <c r="J9" s="32" t="s">
        <v>144</v>
      </c>
      <c r="K9" s="32" t="s">
        <v>145</v>
      </c>
      <c r="L9" s="32" t="s">
        <v>146</v>
      </c>
      <c r="M9" s="32" t="s">
        <v>147</v>
      </c>
      <c r="N9" s="13" t="s">
        <v>175</v>
      </c>
    </row>
    <row r="10" spans="1:14" x14ac:dyDescent="0.45">
      <c r="A10" s="24"/>
      <c r="B10" s="37" t="s">
        <v>34</v>
      </c>
      <c r="C10" s="38">
        <v>335.31</v>
      </c>
      <c r="D10" s="32" t="s">
        <v>35</v>
      </c>
      <c r="E10" s="13" t="s">
        <v>36</v>
      </c>
      <c r="G10" s="11" t="s">
        <v>130</v>
      </c>
      <c r="H10" s="33">
        <v>28.48</v>
      </c>
      <c r="I10" s="33">
        <v>62.12</v>
      </c>
      <c r="J10" s="33">
        <v>19.07</v>
      </c>
      <c r="K10" s="33">
        <v>3.44</v>
      </c>
      <c r="L10" s="33">
        <v>180.38</v>
      </c>
      <c r="M10" s="33">
        <v>0</v>
      </c>
      <c r="N10" s="12">
        <v>93.49</v>
      </c>
    </row>
    <row r="11" spans="1:14" ht="14.65" customHeight="1" thickBot="1" x14ac:dyDescent="0.5">
      <c r="A11" s="24" t="s">
        <v>28</v>
      </c>
      <c r="B11" s="39" t="s">
        <v>61</v>
      </c>
      <c r="C11" s="40">
        <f>638.57+660.89+989.36</f>
        <v>2288.8200000000002</v>
      </c>
      <c r="D11" s="41"/>
      <c r="E11" s="14"/>
      <c r="G11" s="11" t="s">
        <v>131</v>
      </c>
      <c r="H11" s="33">
        <v>25.72</v>
      </c>
      <c r="I11" s="33">
        <v>56.11</v>
      </c>
      <c r="J11" s="33">
        <v>16.309999999999999</v>
      </c>
      <c r="K11" s="33">
        <v>3.03</v>
      </c>
      <c r="L11" s="33">
        <v>132.31</v>
      </c>
      <c r="M11" s="33">
        <v>0</v>
      </c>
      <c r="N11" s="12">
        <v>82.24</v>
      </c>
    </row>
    <row r="12" spans="1:14" ht="14.65" thickBot="1" x14ac:dyDescent="0.5">
      <c r="A12" s="24"/>
      <c r="B12" s="39" t="s">
        <v>37</v>
      </c>
      <c r="C12" s="7">
        <v>747.84</v>
      </c>
      <c r="D12" s="41">
        <f>C12/$C$2</f>
        <v>10.188555858310629</v>
      </c>
      <c r="E12" s="14">
        <f>C12/$C$3</f>
        <v>15.962433297758805</v>
      </c>
      <c r="G12" s="11" t="s">
        <v>132</v>
      </c>
      <c r="H12" s="33">
        <v>28.48</v>
      </c>
      <c r="I12" s="33">
        <v>62.12</v>
      </c>
      <c r="J12" s="33">
        <v>15.94</v>
      </c>
      <c r="K12" s="33">
        <v>3.1</v>
      </c>
      <c r="L12" s="33">
        <v>98.74</v>
      </c>
      <c r="M12" s="33">
        <v>0</v>
      </c>
      <c r="N12" s="12">
        <v>80.650000000000006</v>
      </c>
    </row>
    <row r="13" spans="1:14" x14ac:dyDescent="0.45">
      <c r="A13" s="24"/>
      <c r="B13" s="39" t="s">
        <v>56</v>
      </c>
      <c r="C13" s="40">
        <v>6.32</v>
      </c>
      <c r="D13" s="41"/>
      <c r="E13" s="14"/>
      <c r="G13" s="11" t="s">
        <v>133</v>
      </c>
      <c r="H13" s="33">
        <v>27.56</v>
      </c>
      <c r="I13" s="33">
        <v>60.12</v>
      </c>
      <c r="J13" s="33">
        <v>14.06</v>
      </c>
      <c r="K13" s="33">
        <v>2.31</v>
      </c>
      <c r="L13" s="33">
        <v>70.16</v>
      </c>
      <c r="M13" s="33">
        <v>0.08</v>
      </c>
      <c r="N13" s="12">
        <v>72.87</v>
      </c>
    </row>
    <row r="14" spans="1:14" x14ac:dyDescent="0.45">
      <c r="A14" s="24"/>
      <c r="B14" s="39" t="s">
        <v>57</v>
      </c>
      <c r="C14" s="40">
        <v>6.62</v>
      </c>
      <c r="D14" s="41"/>
      <c r="E14" s="14"/>
      <c r="G14" s="11" t="s">
        <v>134</v>
      </c>
      <c r="H14" s="33">
        <v>28.48</v>
      </c>
      <c r="I14" s="33">
        <v>62.12</v>
      </c>
      <c r="J14" s="33">
        <v>12.56</v>
      </c>
      <c r="K14" s="33">
        <v>1.72</v>
      </c>
      <c r="L14" s="33">
        <v>27.2</v>
      </c>
      <c r="M14" s="33">
        <v>0.83</v>
      </c>
      <c r="N14" s="12">
        <v>69.819999999999993</v>
      </c>
    </row>
    <row r="15" spans="1:14" x14ac:dyDescent="0.45">
      <c r="A15" s="24"/>
      <c r="B15" s="39" t="s">
        <v>58</v>
      </c>
      <c r="C15" s="40">
        <v>34.049999999999997</v>
      </c>
      <c r="D15" s="41"/>
      <c r="E15" s="14"/>
      <c r="G15" s="11" t="s">
        <v>135</v>
      </c>
      <c r="H15" s="33">
        <v>27.56</v>
      </c>
      <c r="I15" s="33">
        <v>60.12</v>
      </c>
      <c r="J15" s="33">
        <v>10.99</v>
      </c>
      <c r="K15" s="33">
        <v>1.42</v>
      </c>
      <c r="L15" s="33">
        <v>2.68</v>
      </c>
      <c r="M15" s="33">
        <v>4.1900000000000004</v>
      </c>
      <c r="N15" s="12">
        <v>62.14</v>
      </c>
    </row>
    <row r="16" spans="1:14" ht="14.65" thickBot="1" x14ac:dyDescent="0.5">
      <c r="A16" s="24"/>
      <c r="B16" s="42" t="s">
        <v>62</v>
      </c>
      <c r="C16" s="43">
        <f>123.09+48.55+33.14</f>
        <v>204.77999999999997</v>
      </c>
      <c r="D16" s="44"/>
      <c r="E16" s="15"/>
      <c r="G16" s="11" t="s">
        <v>136</v>
      </c>
      <c r="H16" s="33">
        <v>28.48</v>
      </c>
      <c r="I16" s="33">
        <v>62.12</v>
      </c>
      <c r="J16" s="33">
        <v>12.6</v>
      </c>
      <c r="K16" s="33">
        <v>3.17</v>
      </c>
      <c r="L16" s="33">
        <v>0</v>
      </c>
      <c r="M16" s="33">
        <v>20.68</v>
      </c>
      <c r="N16" s="12">
        <v>62.09</v>
      </c>
    </row>
    <row r="17" spans="1:14" ht="14.65" thickBot="1" x14ac:dyDescent="0.5">
      <c r="A17" s="24"/>
      <c r="B17" s="42" t="s">
        <v>38</v>
      </c>
      <c r="C17" s="8">
        <v>63.48</v>
      </c>
      <c r="D17" s="44">
        <f>C17/$C$2</f>
        <v>0.86485013623978202</v>
      </c>
      <c r="E17" s="15">
        <f>C17/$C$3</f>
        <v>1.3549626467449305</v>
      </c>
      <c r="G17" s="11" t="s">
        <v>137</v>
      </c>
      <c r="H17" s="33">
        <v>28.48</v>
      </c>
      <c r="I17" s="33">
        <v>62.12</v>
      </c>
      <c r="J17" s="33">
        <v>12.81</v>
      </c>
      <c r="K17" s="33">
        <v>3.32</v>
      </c>
      <c r="L17" s="33">
        <v>0</v>
      </c>
      <c r="M17" s="33">
        <v>23.88</v>
      </c>
      <c r="N17" s="12">
        <v>61.38</v>
      </c>
    </row>
    <row r="18" spans="1:14" x14ac:dyDescent="0.45">
      <c r="A18" s="24"/>
      <c r="B18" s="42" t="s">
        <v>59</v>
      </c>
      <c r="C18" s="43">
        <v>0.95</v>
      </c>
      <c r="D18" s="43"/>
      <c r="E18" s="15"/>
      <c r="G18" s="11" t="s">
        <v>138</v>
      </c>
      <c r="H18" s="33">
        <v>27.56</v>
      </c>
      <c r="I18" s="33">
        <v>60.12</v>
      </c>
      <c r="J18" s="33">
        <v>11.69</v>
      </c>
      <c r="K18" s="33">
        <v>2.5099999999999998</v>
      </c>
      <c r="L18" s="33">
        <v>0.08</v>
      </c>
      <c r="M18" s="33">
        <v>13.42</v>
      </c>
      <c r="N18" s="12">
        <v>60.63</v>
      </c>
    </row>
    <row r="19" spans="1:14" x14ac:dyDescent="0.45">
      <c r="A19" s="24"/>
      <c r="B19" s="42" t="s">
        <v>64</v>
      </c>
      <c r="C19" s="43">
        <v>0.37</v>
      </c>
      <c r="D19" s="43"/>
      <c r="E19" s="15"/>
      <c r="G19" s="11" t="s">
        <v>139</v>
      </c>
      <c r="H19" s="33">
        <v>28.48</v>
      </c>
      <c r="I19" s="33">
        <v>62.12</v>
      </c>
      <c r="J19" s="33">
        <v>11.4</v>
      </c>
      <c r="K19" s="33">
        <v>0.86</v>
      </c>
      <c r="L19" s="33">
        <v>5.0199999999999996</v>
      </c>
      <c r="M19" s="33">
        <v>0.41</v>
      </c>
      <c r="N19" s="12">
        <v>66.81</v>
      </c>
    </row>
    <row r="20" spans="1:14" ht="14.65" thickBot="1" x14ac:dyDescent="0.5">
      <c r="A20" s="24"/>
      <c r="B20" s="42" t="s">
        <v>60</v>
      </c>
      <c r="C20" s="43">
        <v>1.23</v>
      </c>
      <c r="D20" s="43"/>
      <c r="E20" s="15"/>
      <c r="G20" s="11" t="s">
        <v>140</v>
      </c>
      <c r="H20" s="33">
        <v>27.56</v>
      </c>
      <c r="I20" s="33">
        <v>60.12</v>
      </c>
      <c r="J20" s="33">
        <v>14.91</v>
      </c>
      <c r="K20" s="33">
        <v>2.66</v>
      </c>
      <c r="L20" s="33">
        <v>96.59</v>
      </c>
      <c r="M20" s="33">
        <v>0</v>
      </c>
      <c r="N20" s="12">
        <v>75.42</v>
      </c>
    </row>
    <row r="21" spans="1:14" ht="14.65" thickBot="1" x14ac:dyDescent="0.5">
      <c r="A21" s="24"/>
      <c r="B21" s="45" t="s">
        <v>50</v>
      </c>
      <c r="C21" s="21">
        <f>169.26-12.58</f>
        <v>156.67999999999998</v>
      </c>
      <c r="D21" s="46"/>
      <c r="E21" s="74"/>
      <c r="G21" s="11" t="s">
        <v>141</v>
      </c>
      <c r="H21" s="33">
        <v>28.48</v>
      </c>
      <c r="I21" s="33">
        <v>62.12</v>
      </c>
      <c r="J21" s="33">
        <v>16.940000000000001</v>
      </c>
      <c r="K21" s="33">
        <v>3.33</v>
      </c>
      <c r="L21" s="33">
        <v>134.68</v>
      </c>
      <c r="M21" s="33">
        <v>0</v>
      </c>
      <c r="N21" s="12">
        <v>82.32</v>
      </c>
    </row>
    <row r="22" spans="1:14" ht="14.65" thickBot="1" x14ac:dyDescent="0.5">
      <c r="A22" s="24" t="s">
        <v>7</v>
      </c>
      <c r="B22" s="47" t="s">
        <v>66</v>
      </c>
      <c r="C22" s="22">
        <f>30.88-'BAU Results'!C22/0.05*0.95</f>
        <v>26.671499999999998</v>
      </c>
      <c r="D22" s="49"/>
      <c r="E22" s="16"/>
      <c r="G22" s="11"/>
      <c r="H22" s="33"/>
      <c r="I22" s="33"/>
      <c r="J22" s="33"/>
      <c r="K22" s="33"/>
      <c r="L22" s="33"/>
      <c r="M22" s="33"/>
      <c r="N22" s="12"/>
    </row>
    <row r="23" spans="1:14" ht="14.65" customHeight="1" thickBot="1" x14ac:dyDescent="0.5">
      <c r="A23" s="24"/>
      <c r="B23" s="50" t="s">
        <v>63</v>
      </c>
      <c r="C23" s="51">
        <v>2466.3000000000002</v>
      </c>
      <c r="D23" s="51"/>
      <c r="E23" s="77"/>
      <c r="G23" s="18" t="s">
        <v>148</v>
      </c>
      <c r="H23" s="19">
        <v>335.31</v>
      </c>
      <c r="I23" s="19">
        <v>731.43</v>
      </c>
      <c r="J23" s="19">
        <v>169.26</v>
      </c>
      <c r="K23" s="19">
        <v>30.88</v>
      </c>
      <c r="L23" s="19">
        <v>747.84</v>
      </c>
      <c r="M23" s="19">
        <v>63.48</v>
      </c>
      <c r="N23" s="34">
        <v>869.86</v>
      </c>
    </row>
    <row r="24" spans="1:14" x14ac:dyDescent="0.45">
      <c r="A24" s="24"/>
      <c r="B24" s="17" t="s">
        <v>48</v>
      </c>
      <c r="C24" s="89">
        <v>869.86</v>
      </c>
      <c r="D24" s="53"/>
      <c r="E24" s="79"/>
    </row>
    <row r="25" spans="1:14" ht="14.65" thickBot="1" x14ac:dyDescent="0.5">
      <c r="A25" s="24"/>
      <c r="B25" s="17" t="s">
        <v>49</v>
      </c>
      <c r="C25" s="90">
        <v>0</v>
      </c>
      <c r="D25" s="51"/>
      <c r="E25" s="79"/>
    </row>
    <row r="26" spans="1:14" x14ac:dyDescent="0.45">
      <c r="A26" s="11"/>
      <c r="B26" s="54" t="s">
        <v>51</v>
      </c>
      <c r="C26" s="55">
        <f>C9+C10+C12+C17+C21+C22+C24+C25</f>
        <v>2931.2715000000003</v>
      </c>
      <c r="D26" s="56"/>
      <c r="E26" s="35"/>
    </row>
    <row r="27" spans="1:14" x14ac:dyDescent="0.45">
      <c r="A27" s="11"/>
      <c r="B27" s="33"/>
      <c r="C27" s="33"/>
      <c r="D27" s="33"/>
      <c r="E27" s="12"/>
    </row>
    <row r="28" spans="1:14" ht="15.75" x14ac:dyDescent="0.5">
      <c r="A28" s="24" t="s">
        <v>52</v>
      </c>
      <c r="B28" s="58" t="s">
        <v>40</v>
      </c>
      <c r="C28" s="59">
        <v>4064.3620000000001</v>
      </c>
      <c r="D28" s="33"/>
      <c r="E28" s="12"/>
    </row>
    <row r="29" spans="1:14" ht="15.75" x14ac:dyDescent="0.5">
      <c r="A29" s="24"/>
      <c r="B29" s="58" t="s">
        <v>41</v>
      </c>
      <c r="C29" s="60">
        <v>-169.35</v>
      </c>
      <c r="D29" s="33"/>
      <c r="E29" s="12"/>
    </row>
    <row r="30" spans="1:14" ht="15.75" x14ac:dyDescent="0.5">
      <c r="A30" s="24"/>
      <c r="B30" s="58" t="s">
        <v>42</v>
      </c>
      <c r="C30" s="60">
        <v>-116.85</v>
      </c>
      <c r="D30" s="33"/>
      <c r="E30" s="82"/>
    </row>
    <row r="31" spans="1:14" ht="15.75" x14ac:dyDescent="0.45">
      <c r="A31" s="24"/>
      <c r="B31" s="58" t="s">
        <v>43</v>
      </c>
      <c r="C31" s="61">
        <f>C28+C29+C30</f>
        <v>3778.1620000000003</v>
      </c>
      <c r="D31" s="33"/>
      <c r="E31" s="12"/>
    </row>
    <row r="32" spans="1:14" ht="15.75" x14ac:dyDescent="0.45">
      <c r="A32" s="24"/>
      <c r="B32" s="58" t="s">
        <v>44</v>
      </c>
      <c r="C32" s="62">
        <v>-1884.5260000000001</v>
      </c>
      <c r="D32" s="33"/>
      <c r="E32" s="12"/>
    </row>
    <row r="33" spans="1:14" ht="15.75" x14ac:dyDescent="0.5">
      <c r="A33" s="24"/>
      <c r="B33" s="58" t="s">
        <v>45</v>
      </c>
      <c r="C33" s="59">
        <f>C31+C32</f>
        <v>1893.6360000000002</v>
      </c>
      <c r="D33" s="33"/>
      <c r="E33" s="12"/>
    </row>
    <row r="34" spans="1:14" ht="15.75" x14ac:dyDescent="0.5">
      <c r="A34" s="24"/>
      <c r="B34" s="58" t="s">
        <v>46</v>
      </c>
      <c r="C34" s="60">
        <v>1054.433</v>
      </c>
      <c r="D34" s="33"/>
      <c r="E34" s="12"/>
    </row>
    <row r="35" spans="1:14" ht="15.75" customHeight="1" x14ac:dyDescent="0.45">
      <c r="A35" s="24"/>
      <c r="B35" s="58" t="s">
        <v>47</v>
      </c>
      <c r="C35" s="61">
        <f>C33+C34</f>
        <v>2948.0690000000004</v>
      </c>
      <c r="D35" s="68" t="s">
        <v>150</v>
      </c>
      <c r="E35" s="83"/>
    </row>
    <row r="36" spans="1:14" x14ac:dyDescent="0.45">
      <c r="A36" s="11"/>
      <c r="B36" s="33"/>
      <c r="C36" s="33"/>
      <c r="D36" s="68"/>
      <c r="E36" s="83"/>
    </row>
    <row r="37" spans="1:14" x14ac:dyDescent="0.45">
      <c r="A37" s="11"/>
      <c r="B37" s="33"/>
      <c r="C37" s="33"/>
      <c r="D37" s="68"/>
      <c r="E37" s="83"/>
    </row>
    <row r="38" spans="1:14" ht="14.25" customHeight="1" x14ac:dyDescent="0.45">
      <c r="A38" s="11"/>
      <c r="B38" s="33"/>
      <c r="C38" s="33"/>
      <c r="D38" s="68"/>
      <c r="E38" s="83"/>
      <c r="F38" s="5"/>
    </row>
    <row r="39" spans="1:14" ht="14.25" customHeight="1" x14ac:dyDescent="0.45">
      <c r="A39" s="11"/>
      <c r="B39" s="33"/>
      <c r="C39" s="33"/>
      <c r="D39" s="85" t="s">
        <v>128</v>
      </c>
      <c r="E39" s="86"/>
      <c r="F39" s="5"/>
    </row>
    <row r="40" spans="1:14" x14ac:dyDescent="0.45">
      <c r="A40" s="11"/>
      <c r="B40" s="33"/>
      <c r="C40" s="33"/>
      <c r="D40" s="85"/>
      <c r="E40" s="86"/>
      <c r="F40" s="5"/>
    </row>
    <row r="41" spans="1:14" x14ac:dyDescent="0.45">
      <c r="A41" s="11"/>
      <c r="B41" s="33"/>
      <c r="C41" s="33"/>
      <c r="D41" s="85"/>
      <c r="E41" s="86"/>
      <c r="F41" s="5"/>
    </row>
    <row r="42" spans="1:14" ht="14.65" thickBot="1" x14ac:dyDescent="0.5">
      <c r="A42" s="18"/>
      <c r="B42" s="19"/>
      <c r="C42" s="19"/>
      <c r="D42" s="87"/>
      <c r="E42" s="88"/>
      <c r="F42" s="5"/>
    </row>
    <row r="43" spans="1:14" x14ac:dyDescent="0.45">
      <c r="A43" s="33"/>
      <c r="B43" s="33"/>
      <c r="C43" s="33"/>
      <c r="D43" s="36"/>
      <c r="E43" s="36"/>
    </row>
    <row r="44" spans="1:14" x14ac:dyDescent="0.45">
      <c r="A44" s="33"/>
      <c r="B44" s="33"/>
      <c r="C44" s="33"/>
      <c r="D44" s="36"/>
      <c r="E44" s="36"/>
    </row>
    <row r="45" spans="1:14" x14ac:dyDescent="0.45">
      <c r="A45" s="63" t="s">
        <v>151</v>
      </c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</row>
    <row r="46" spans="1:14" ht="14.65" thickBot="1" x14ac:dyDescent="0.5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</row>
    <row r="47" spans="1:14" x14ac:dyDescent="0.45">
      <c r="A47" s="29" t="s">
        <v>177</v>
      </c>
      <c r="B47" s="25"/>
      <c r="C47" s="25"/>
      <c r="D47" s="25"/>
      <c r="E47" s="26"/>
      <c r="G47" s="29" t="s">
        <v>177</v>
      </c>
      <c r="H47" s="25"/>
      <c r="I47" s="25"/>
      <c r="J47" s="25"/>
      <c r="K47" s="25"/>
      <c r="L47" s="25"/>
      <c r="M47" s="25"/>
      <c r="N47" s="26"/>
    </row>
    <row r="48" spans="1:14" x14ac:dyDescent="0.45">
      <c r="A48" s="30" t="s">
        <v>32</v>
      </c>
      <c r="B48" s="31"/>
      <c r="C48" s="31"/>
      <c r="D48" s="31"/>
      <c r="E48" s="27"/>
      <c r="G48" s="30" t="s">
        <v>149</v>
      </c>
      <c r="H48" s="31"/>
      <c r="I48" s="31"/>
      <c r="J48" s="31"/>
      <c r="K48" s="31"/>
      <c r="L48" s="31"/>
      <c r="M48" s="31"/>
      <c r="N48" s="27"/>
    </row>
    <row r="49" spans="1:14" x14ac:dyDescent="0.45">
      <c r="A49" s="24" t="s">
        <v>55</v>
      </c>
      <c r="B49" s="37" t="s">
        <v>33</v>
      </c>
      <c r="C49" s="38">
        <v>731.43</v>
      </c>
      <c r="D49" s="33"/>
      <c r="E49" s="12"/>
      <c r="G49" s="11"/>
      <c r="H49" s="32" t="s">
        <v>143</v>
      </c>
      <c r="I49" s="32" t="s">
        <v>142</v>
      </c>
      <c r="J49" s="32" t="s">
        <v>144</v>
      </c>
      <c r="K49" s="32" t="s">
        <v>145</v>
      </c>
      <c r="L49" s="32" t="s">
        <v>146</v>
      </c>
      <c r="M49" s="32" t="s">
        <v>147</v>
      </c>
      <c r="N49" s="13" t="s">
        <v>175</v>
      </c>
    </row>
    <row r="50" spans="1:14" x14ac:dyDescent="0.45">
      <c r="A50" s="24"/>
      <c r="B50" s="37" t="s">
        <v>34</v>
      </c>
      <c r="C50" s="38">
        <v>335.31</v>
      </c>
      <c r="D50" s="32" t="s">
        <v>35</v>
      </c>
      <c r="E50" s="13" t="s">
        <v>36</v>
      </c>
      <c r="G50" s="11" t="s">
        <v>130</v>
      </c>
      <c r="H50" s="33">
        <v>28.48</v>
      </c>
      <c r="I50" s="33">
        <v>62.12</v>
      </c>
      <c r="J50" s="33">
        <v>17.43</v>
      </c>
      <c r="K50" s="33">
        <v>3.35</v>
      </c>
      <c r="L50" s="33">
        <v>143.6</v>
      </c>
      <c r="M50" s="33">
        <v>0</v>
      </c>
      <c r="N50" s="12">
        <v>87.06</v>
      </c>
    </row>
    <row r="51" spans="1:14" ht="14.65" thickBot="1" x14ac:dyDescent="0.5">
      <c r="A51" s="24" t="s">
        <v>28</v>
      </c>
      <c r="B51" s="39" t="s">
        <v>61</v>
      </c>
      <c r="C51" s="40">
        <f>676.96+475.57+458.88</f>
        <v>1611.4099999999999</v>
      </c>
      <c r="D51" s="41"/>
      <c r="E51" s="14"/>
      <c r="G51" s="11" t="s">
        <v>131</v>
      </c>
      <c r="H51" s="33">
        <v>25.72</v>
      </c>
      <c r="I51" s="33">
        <v>56.11</v>
      </c>
      <c r="J51" s="33">
        <v>14.8</v>
      </c>
      <c r="K51" s="33">
        <v>2.92</v>
      </c>
      <c r="L51" s="33">
        <v>98.99</v>
      </c>
      <c r="M51" s="33">
        <v>0</v>
      </c>
      <c r="N51" s="12">
        <v>76.64</v>
      </c>
    </row>
    <row r="52" spans="1:14" ht="14.65" thickBot="1" x14ac:dyDescent="0.5">
      <c r="A52" s="24"/>
      <c r="B52" s="39" t="s">
        <v>37</v>
      </c>
      <c r="C52" s="7">
        <v>520.08000000000004</v>
      </c>
      <c r="D52" s="41">
        <f>C52/$C$2</f>
        <v>7.0855585831062688</v>
      </c>
      <c r="E52" s="14">
        <f>C52/$C$3</f>
        <v>11.100960512273213</v>
      </c>
      <c r="G52" s="11" t="s">
        <v>132</v>
      </c>
      <c r="H52" s="33">
        <v>28.48</v>
      </c>
      <c r="I52" s="33">
        <v>62.12</v>
      </c>
      <c r="J52" s="33">
        <v>14.24</v>
      </c>
      <c r="K52" s="33">
        <v>2.25</v>
      </c>
      <c r="L52" s="33">
        <v>61.93</v>
      </c>
      <c r="M52" s="33">
        <v>0</v>
      </c>
      <c r="N52" s="12">
        <v>76.13</v>
      </c>
    </row>
    <row r="53" spans="1:14" x14ac:dyDescent="0.45">
      <c r="A53" s="24"/>
      <c r="B53" s="39" t="s">
        <v>56</v>
      </c>
      <c r="C53" s="40">
        <v>3.7</v>
      </c>
      <c r="D53" s="41"/>
      <c r="E53" s="14"/>
      <c r="G53" s="11" t="s">
        <v>133</v>
      </c>
      <c r="H53" s="33">
        <v>27.56</v>
      </c>
      <c r="I53" s="33">
        <v>60.12</v>
      </c>
      <c r="J53" s="33">
        <v>12.91</v>
      </c>
      <c r="K53" s="33">
        <v>2.5099999999999998</v>
      </c>
      <c r="L53" s="33">
        <v>40.43</v>
      </c>
      <c r="M53" s="33">
        <v>2.36</v>
      </c>
      <c r="N53" s="12">
        <v>68.98</v>
      </c>
    </row>
    <row r="54" spans="1:14" x14ac:dyDescent="0.45">
      <c r="A54" s="24"/>
      <c r="B54" s="39" t="s">
        <v>57</v>
      </c>
      <c r="C54" s="40">
        <v>3.7</v>
      </c>
      <c r="D54" s="41"/>
      <c r="E54" s="14"/>
      <c r="G54" s="11" t="s">
        <v>134</v>
      </c>
      <c r="H54" s="33">
        <v>28.48</v>
      </c>
      <c r="I54" s="33">
        <v>62.12</v>
      </c>
      <c r="J54" s="33">
        <v>12.11</v>
      </c>
      <c r="K54" s="33">
        <v>2.08</v>
      </c>
      <c r="L54" s="33">
        <v>8.31</v>
      </c>
      <c r="M54" s="33">
        <v>6.5</v>
      </c>
      <c r="N54" s="12">
        <v>66</v>
      </c>
    </row>
    <row r="55" spans="1:14" x14ac:dyDescent="0.45">
      <c r="A55" s="24"/>
      <c r="B55" s="39" t="s">
        <v>58</v>
      </c>
      <c r="C55" s="40">
        <v>20.46</v>
      </c>
      <c r="D55" s="41"/>
      <c r="E55" s="14"/>
      <c r="G55" s="11" t="s">
        <v>135</v>
      </c>
      <c r="H55" s="33">
        <v>27.56</v>
      </c>
      <c r="I55" s="33">
        <v>60.12</v>
      </c>
      <c r="J55" s="33">
        <v>12.31</v>
      </c>
      <c r="K55" s="33">
        <v>3.7</v>
      </c>
      <c r="L55" s="33">
        <v>0</v>
      </c>
      <c r="M55" s="33">
        <v>24.63</v>
      </c>
      <c r="N55" s="12">
        <v>57.84</v>
      </c>
    </row>
    <row r="56" spans="1:14" ht="14.65" thickBot="1" x14ac:dyDescent="0.5">
      <c r="A56" s="24"/>
      <c r="B56" s="42" t="s">
        <v>62</v>
      </c>
      <c r="C56" s="43">
        <f>396.34+183.16+147.5</f>
        <v>727</v>
      </c>
      <c r="D56" s="44"/>
      <c r="E56" s="15"/>
      <c r="G56" s="11" t="s">
        <v>136</v>
      </c>
      <c r="H56" s="33">
        <v>28.48</v>
      </c>
      <c r="I56" s="33">
        <v>62.12</v>
      </c>
      <c r="J56" s="33">
        <v>15.95</v>
      </c>
      <c r="K56" s="33">
        <v>5.97</v>
      </c>
      <c r="L56" s="33">
        <v>0</v>
      </c>
      <c r="M56" s="33">
        <v>62.63</v>
      </c>
      <c r="N56" s="12">
        <v>57.32</v>
      </c>
    </row>
    <row r="57" spans="1:14" ht="14.65" thickBot="1" x14ac:dyDescent="0.5">
      <c r="A57" s="24"/>
      <c r="B57" s="42" t="s">
        <v>38</v>
      </c>
      <c r="C57" s="8">
        <v>224.39</v>
      </c>
      <c r="D57" s="44">
        <f>C57/$C$2</f>
        <v>3.0570844686648502</v>
      </c>
      <c r="E57" s="15">
        <f>C57/$C$3</f>
        <v>4.7895410885805756</v>
      </c>
      <c r="G57" s="11" t="s">
        <v>137</v>
      </c>
      <c r="H57" s="33">
        <v>28.48</v>
      </c>
      <c r="I57" s="33">
        <v>62.12</v>
      </c>
      <c r="J57" s="33">
        <v>16.29</v>
      </c>
      <c r="K57" s="33">
        <v>6.25</v>
      </c>
      <c r="L57" s="33">
        <v>0</v>
      </c>
      <c r="M57" s="33">
        <v>66.52</v>
      </c>
      <c r="N57" s="12">
        <v>56.61</v>
      </c>
    </row>
    <row r="58" spans="1:14" x14ac:dyDescent="0.45">
      <c r="A58" s="24"/>
      <c r="B58" s="42" t="s">
        <v>59</v>
      </c>
      <c r="C58" s="43">
        <v>3.97</v>
      </c>
      <c r="D58" s="43"/>
      <c r="E58" s="15"/>
      <c r="G58" s="11" t="s">
        <v>138</v>
      </c>
      <c r="H58" s="33">
        <v>27.56</v>
      </c>
      <c r="I58" s="33">
        <v>60.12</v>
      </c>
      <c r="J58" s="33">
        <v>14.69</v>
      </c>
      <c r="K58" s="33">
        <v>5.61</v>
      </c>
      <c r="L58" s="33">
        <v>0</v>
      </c>
      <c r="M58" s="33">
        <v>51.8</v>
      </c>
      <c r="N58" s="12">
        <v>56.62</v>
      </c>
    </row>
    <row r="59" spans="1:14" x14ac:dyDescent="0.45">
      <c r="A59" s="24"/>
      <c r="B59" s="42" t="s">
        <v>64</v>
      </c>
      <c r="C59" s="43">
        <v>2.1</v>
      </c>
      <c r="D59" s="43"/>
      <c r="E59" s="15"/>
      <c r="G59" s="11" t="s">
        <v>139</v>
      </c>
      <c r="H59" s="33">
        <v>28.48</v>
      </c>
      <c r="I59" s="33">
        <v>62.12</v>
      </c>
      <c r="J59" s="33">
        <v>11.84</v>
      </c>
      <c r="K59" s="33">
        <v>2.25</v>
      </c>
      <c r="L59" s="33">
        <v>0.4</v>
      </c>
      <c r="M59" s="33">
        <v>9.84</v>
      </c>
      <c r="N59" s="12">
        <v>62.71</v>
      </c>
    </row>
    <row r="60" spans="1:14" ht="14.65" thickBot="1" x14ac:dyDescent="0.5">
      <c r="A60" s="24"/>
      <c r="B60" s="42" t="s">
        <v>60</v>
      </c>
      <c r="C60" s="43">
        <v>6.44</v>
      </c>
      <c r="D60" s="43"/>
      <c r="E60" s="15"/>
      <c r="G60" s="11" t="s">
        <v>140</v>
      </c>
      <c r="H60" s="33">
        <v>27.56</v>
      </c>
      <c r="I60" s="33">
        <v>60.12</v>
      </c>
      <c r="J60" s="33">
        <v>13.47</v>
      </c>
      <c r="K60" s="33">
        <v>2.52</v>
      </c>
      <c r="L60" s="33">
        <v>63.86</v>
      </c>
      <c r="M60" s="33">
        <v>0.1</v>
      </c>
      <c r="N60" s="12">
        <v>70.19</v>
      </c>
    </row>
    <row r="61" spans="1:14" ht="14.65" thickBot="1" x14ac:dyDescent="0.5">
      <c r="A61" s="24"/>
      <c r="B61" s="45" t="s">
        <v>50</v>
      </c>
      <c r="C61" s="21">
        <f>171.61-20.04</f>
        <v>151.57000000000002</v>
      </c>
      <c r="D61" s="46"/>
      <c r="E61" s="74"/>
      <c r="G61" s="11" t="s">
        <v>141</v>
      </c>
      <c r="H61" s="33">
        <v>28.48</v>
      </c>
      <c r="I61" s="33">
        <v>62.12</v>
      </c>
      <c r="J61" s="33">
        <v>15.56</v>
      </c>
      <c r="K61" s="33">
        <v>3.24</v>
      </c>
      <c r="L61" s="33">
        <v>102.55</v>
      </c>
      <c r="M61" s="33">
        <v>0</v>
      </c>
      <c r="N61" s="12">
        <v>77.28</v>
      </c>
    </row>
    <row r="62" spans="1:14" ht="14.65" thickBot="1" x14ac:dyDescent="0.5">
      <c r="A62" s="24" t="s">
        <v>7</v>
      </c>
      <c r="B62" s="47" t="s">
        <v>66</v>
      </c>
      <c r="C62" s="22">
        <f>42.65-'BAU Results'!C63/0.05*0.95</f>
        <v>34.375500000000002</v>
      </c>
      <c r="D62" s="49"/>
      <c r="E62" s="16"/>
      <c r="G62" s="11"/>
      <c r="H62" s="33"/>
      <c r="I62" s="33"/>
      <c r="J62" s="33"/>
      <c r="K62" s="33"/>
      <c r="L62" s="33"/>
      <c r="M62" s="33"/>
      <c r="N62" s="12"/>
    </row>
    <row r="63" spans="1:14" ht="14.65" thickBot="1" x14ac:dyDescent="0.5">
      <c r="A63" s="24"/>
      <c r="B63" s="50" t="s">
        <v>63</v>
      </c>
      <c r="C63" s="51">
        <v>2363.75</v>
      </c>
      <c r="D63" s="51"/>
      <c r="E63" s="77"/>
      <c r="G63" s="18" t="s">
        <v>148</v>
      </c>
      <c r="H63" s="19">
        <v>335.31</v>
      </c>
      <c r="I63" s="19">
        <v>731.43</v>
      </c>
      <c r="J63" s="19">
        <v>171.61</v>
      </c>
      <c r="K63" s="19">
        <v>42.65</v>
      </c>
      <c r="L63" s="19">
        <v>520.08000000000004</v>
      </c>
      <c r="M63" s="19">
        <v>224.39</v>
      </c>
      <c r="N63" s="34">
        <v>813.38</v>
      </c>
    </row>
    <row r="64" spans="1:14" x14ac:dyDescent="0.45">
      <c r="A64" s="24"/>
      <c r="B64" s="50" t="s">
        <v>48</v>
      </c>
      <c r="C64" s="89">
        <v>813.38</v>
      </c>
      <c r="D64" s="53"/>
      <c r="E64" s="79"/>
    </row>
    <row r="65" spans="1:14" ht="14.65" thickBot="1" x14ac:dyDescent="0.5">
      <c r="A65" s="24"/>
      <c r="B65" s="50" t="s">
        <v>49</v>
      </c>
      <c r="C65" s="90">
        <v>0</v>
      </c>
      <c r="D65" s="51"/>
      <c r="E65" s="79"/>
    </row>
    <row r="66" spans="1:14" x14ac:dyDescent="0.45">
      <c r="A66" s="11"/>
      <c r="B66" s="54" t="s">
        <v>51</v>
      </c>
      <c r="C66" s="55">
        <f>C49+C50+C52+C57+C61+C62+C64+C65</f>
        <v>2810.5355</v>
      </c>
      <c r="D66" s="56"/>
      <c r="E66" s="35"/>
    </row>
    <row r="67" spans="1:14" x14ac:dyDescent="0.45">
      <c r="A67" s="11"/>
      <c r="B67" s="33"/>
      <c r="C67" s="33"/>
      <c r="D67" s="33"/>
      <c r="E67" s="12"/>
    </row>
    <row r="68" spans="1:14" ht="15.75" x14ac:dyDescent="0.5">
      <c r="A68" s="24" t="s">
        <v>52</v>
      </c>
      <c r="B68" s="58" t="s">
        <v>40</v>
      </c>
      <c r="C68" s="59">
        <v>4060.7040000000002</v>
      </c>
      <c r="D68" s="33"/>
      <c r="E68" s="12"/>
    </row>
    <row r="69" spans="1:14" ht="15.75" x14ac:dyDescent="0.5">
      <c r="A69" s="24"/>
      <c r="B69" s="58" t="s">
        <v>41</v>
      </c>
      <c r="C69" s="60">
        <v>-167.88</v>
      </c>
      <c r="D69" s="33"/>
      <c r="E69" s="12"/>
    </row>
    <row r="70" spans="1:14" ht="15.75" x14ac:dyDescent="0.5">
      <c r="A70" s="24"/>
      <c r="B70" s="58" t="s">
        <v>42</v>
      </c>
      <c r="C70" s="60">
        <v>-116.78</v>
      </c>
      <c r="D70" s="33"/>
      <c r="E70" s="82"/>
    </row>
    <row r="71" spans="1:14" ht="15.75" x14ac:dyDescent="0.45">
      <c r="A71" s="24"/>
      <c r="B71" s="58" t="s">
        <v>43</v>
      </c>
      <c r="C71" s="61">
        <f>C68+C69+C70</f>
        <v>3776.0439999999999</v>
      </c>
      <c r="D71" s="33"/>
      <c r="E71" s="12"/>
    </row>
    <row r="72" spans="1:14" ht="15.75" x14ac:dyDescent="0.45">
      <c r="A72" s="24"/>
      <c r="B72" s="58" t="s">
        <v>44</v>
      </c>
      <c r="C72" s="62">
        <v>-1865.961</v>
      </c>
      <c r="D72" s="33"/>
      <c r="E72" s="12"/>
    </row>
    <row r="73" spans="1:14" ht="15.75" x14ac:dyDescent="0.5">
      <c r="A73" s="24"/>
      <c r="B73" s="58" t="s">
        <v>45</v>
      </c>
      <c r="C73" s="59">
        <f>C71+C72</f>
        <v>1910.0829999999999</v>
      </c>
      <c r="D73" s="33"/>
      <c r="E73" s="12"/>
    </row>
    <row r="74" spans="1:14" ht="15.75" x14ac:dyDescent="0.5">
      <c r="A74" s="24"/>
      <c r="B74" s="58" t="s">
        <v>46</v>
      </c>
      <c r="C74" s="60">
        <v>928.77200000000005</v>
      </c>
      <c r="D74" s="33"/>
      <c r="E74" s="12"/>
    </row>
    <row r="75" spans="1:14" ht="15.75" customHeight="1" x14ac:dyDescent="0.45">
      <c r="A75" s="24"/>
      <c r="B75" s="58" t="s">
        <v>47</v>
      </c>
      <c r="C75" s="61">
        <f>C73+C74</f>
        <v>2838.855</v>
      </c>
      <c r="D75" s="68" t="s">
        <v>158</v>
      </c>
      <c r="E75" s="83"/>
    </row>
    <row r="76" spans="1:14" x14ac:dyDescent="0.45">
      <c r="A76" s="11"/>
      <c r="B76" s="33"/>
      <c r="C76" s="33"/>
      <c r="D76" s="68"/>
      <c r="E76" s="83"/>
    </row>
    <row r="77" spans="1:14" x14ac:dyDescent="0.45">
      <c r="A77" s="11"/>
      <c r="B77" s="33"/>
      <c r="C77" s="33"/>
      <c r="D77" s="68"/>
      <c r="E77" s="83"/>
    </row>
    <row r="78" spans="1:14" ht="14.65" thickBot="1" x14ac:dyDescent="0.5">
      <c r="A78" s="18"/>
      <c r="B78" s="19"/>
      <c r="C78" s="19"/>
      <c r="D78" s="69"/>
      <c r="E78" s="84"/>
      <c r="F78" s="5"/>
    </row>
    <row r="80" spans="1:14" x14ac:dyDescent="0.45">
      <c r="A80" s="63" t="s">
        <v>152</v>
      </c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</row>
    <row r="81" spans="1:14" ht="14.65" thickBot="1" x14ac:dyDescent="0.5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</row>
    <row r="82" spans="1:14" x14ac:dyDescent="0.45">
      <c r="A82" s="29" t="s">
        <v>177</v>
      </c>
      <c r="B82" s="25"/>
      <c r="C82" s="25"/>
      <c r="D82" s="25"/>
      <c r="E82" s="26"/>
      <c r="G82" s="29" t="s">
        <v>177</v>
      </c>
      <c r="H82" s="25"/>
      <c r="I82" s="25"/>
      <c r="J82" s="25"/>
      <c r="K82" s="25"/>
      <c r="L82" s="25"/>
      <c r="M82" s="25"/>
      <c r="N82" s="26"/>
    </row>
    <row r="83" spans="1:14" x14ac:dyDescent="0.45">
      <c r="A83" s="30" t="s">
        <v>32</v>
      </c>
      <c r="B83" s="31"/>
      <c r="C83" s="31"/>
      <c r="D83" s="31"/>
      <c r="E83" s="27"/>
      <c r="G83" s="30" t="s">
        <v>149</v>
      </c>
      <c r="H83" s="31"/>
      <c r="I83" s="31"/>
      <c r="J83" s="31"/>
      <c r="K83" s="31"/>
      <c r="L83" s="31"/>
      <c r="M83" s="31"/>
      <c r="N83" s="27"/>
    </row>
    <row r="84" spans="1:14" x14ac:dyDescent="0.45">
      <c r="A84" s="24" t="s">
        <v>55</v>
      </c>
      <c r="B84" s="37" t="s">
        <v>33</v>
      </c>
      <c r="C84" s="38">
        <v>731.43</v>
      </c>
      <c r="D84" s="33"/>
      <c r="E84" s="12"/>
      <c r="G84" s="11"/>
      <c r="H84" s="32" t="s">
        <v>143</v>
      </c>
      <c r="I84" s="32" t="s">
        <v>142</v>
      </c>
      <c r="J84" s="32" t="s">
        <v>144</v>
      </c>
      <c r="K84" s="32" t="s">
        <v>145</v>
      </c>
      <c r="L84" s="32" t="s">
        <v>146</v>
      </c>
      <c r="M84" s="32" t="s">
        <v>147</v>
      </c>
      <c r="N84" s="13" t="s">
        <v>175</v>
      </c>
    </row>
    <row r="85" spans="1:14" x14ac:dyDescent="0.45">
      <c r="A85" s="24"/>
      <c r="B85" s="37" t="s">
        <v>34</v>
      </c>
      <c r="C85" s="38">
        <v>335.31</v>
      </c>
      <c r="D85" s="32" t="s">
        <v>35</v>
      </c>
      <c r="E85" s="13" t="s">
        <v>36</v>
      </c>
      <c r="G85" s="11" t="s">
        <v>130</v>
      </c>
      <c r="H85" s="33">
        <v>28.48</v>
      </c>
      <c r="I85" s="33">
        <v>62.12</v>
      </c>
      <c r="J85" s="33">
        <v>17.09</v>
      </c>
      <c r="K85" s="33">
        <v>3.33</v>
      </c>
      <c r="L85" s="33">
        <v>137.77000000000001</v>
      </c>
      <c r="M85" s="33">
        <v>0</v>
      </c>
      <c r="N85" s="12">
        <v>85.07</v>
      </c>
    </row>
    <row r="86" spans="1:14" ht="14.65" thickBot="1" x14ac:dyDescent="0.5">
      <c r="A86" s="24" t="s">
        <v>28</v>
      </c>
      <c r="B86" s="39" t="s">
        <v>61</v>
      </c>
      <c r="C86" s="41">
        <f>645.22+451.78+435.45</f>
        <v>1532.45</v>
      </c>
      <c r="D86" s="41"/>
      <c r="E86" s="14"/>
      <c r="G86" s="11" t="s">
        <v>131</v>
      </c>
      <c r="H86" s="33">
        <v>25.72</v>
      </c>
      <c r="I86" s="33">
        <v>56.11</v>
      </c>
      <c r="J86" s="33">
        <v>14.5</v>
      </c>
      <c r="K86" s="33">
        <v>2.9</v>
      </c>
      <c r="L86" s="33">
        <v>93.53</v>
      </c>
      <c r="M86" s="33">
        <v>0</v>
      </c>
      <c r="N86" s="12">
        <v>75.56</v>
      </c>
    </row>
    <row r="87" spans="1:14" ht="14.65" thickBot="1" x14ac:dyDescent="0.5">
      <c r="A87" s="24"/>
      <c r="B87" s="39" t="s">
        <v>37</v>
      </c>
      <c r="C87" s="7">
        <v>493.45</v>
      </c>
      <c r="D87" s="41">
        <f>C87/$C$2</f>
        <v>6.7227520435967305</v>
      </c>
      <c r="E87" s="14">
        <f>C87/$C$3</f>
        <v>10.532550693703309</v>
      </c>
      <c r="G87" s="11" t="s">
        <v>132</v>
      </c>
      <c r="H87" s="33">
        <v>28.48</v>
      </c>
      <c r="I87" s="33">
        <v>62.12</v>
      </c>
      <c r="J87" s="33">
        <v>14.2</v>
      </c>
      <c r="K87" s="33">
        <v>2.25</v>
      </c>
      <c r="L87" s="33">
        <v>61.39</v>
      </c>
      <c r="M87" s="33">
        <v>0</v>
      </c>
      <c r="N87" s="12">
        <v>75.69</v>
      </c>
    </row>
    <row r="88" spans="1:14" x14ac:dyDescent="0.45">
      <c r="A88" s="24"/>
      <c r="B88" s="39" t="s">
        <v>56</v>
      </c>
      <c r="C88" s="40">
        <v>3.43</v>
      </c>
      <c r="D88" s="41"/>
      <c r="E88" s="14"/>
      <c r="G88" s="11" t="s">
        <v>133</v>
      </c>
      <c r="H88" s="33">
        <v>27.56</v>
      </c>
      <c r="I88" s="33">
        <v>60.12</v>
      </c>
      <c r="J88" s="33">
        <v>12.81</v>
      </c>
      <c r="K88" s="33">
        <v>2.5099999999999998</v>
      </c>
      <c r="L88" s="33">
        <v>38.450000000000003</v>
      </c>
      <c r="M88" s="33">
        <v>2.56</v>
      </c>
      <c r="N88" s="12">
        <v>68.38</v>
      </c>
    </row>
    <row r="89" spans="1:14" x14ac:dyDescent="0.45">
      <c r="A89" s="24"/>
      <c r="B89" s="39" t="s">
        <v>57</v>
      </c>
      <c r="C89" s="40">
        <v>3.45</v>
      </c>
      <c r="D89" s="41"/>
      <c r="E89" s="14"/>
      <c r="G89" s="11" t="s">
        <v>134</v>
      </c>
      <c r="H89" s="33">
        <v>28.48</v>
      </c>
      <c r="I89" s="33">
        <v>62.12</v>
      </c>
      <c r="J89" s="33">
        <v>12.16</v>
      </c>
      <c r="K89" s="33">
        <v>2.29</v>
      </c>
      <c r="L89" s="33">
        <v>6.99</v>
      </c>
      <c r="M89" s="33">
        <v>8.17</v>
      </c>
      <c r="N89" s="12">
        <v>65.45</v>
      </c>
    </row>
    <row r="90" spans="1:14" x14ac:dyDescent="0.45">
      <c r="A90" s="24"/>
      <c r="B90" s="39" t="s">
        <v>58</v>
      </c>
      <c r="C90" s="40">
        <v>18.95</v>
      </c>
      <c r="D90" s="41"/>
      <c r="E90" s="14"/>
      <c r="G90" s="11" t="s">
        <v>135</v>
      </c>
      <c r="H90" s="33">
        <v>27.56</v>
      </c>
      <c r="I90" s="33">
        <v>60.12</v>
      </c>
      <c r="J90" s="33">
        <v>12.63</v>
      </c>
      <c r="K90" s="33">
        <v>4.01</v>
      </c>
      <c r="L90" s="33">
        <v>0</v>
      </c>
      <c r="M90" s="33">
        <v>28.53</v>
      </c>
      <c r="N90" s="12">
        <v>57.41</v>
      </c>
    </row>
    <row r="91" spans="1:14" ht="14.65" thickBot="1" x14ac:dyDescent="0.5">
      <c r="A91" s="24"/>
      <c r="B91" s="42" t="s">
        <v>62</v>
      </c>
      <c r="C91" s="44">
        <f>431.68+203.25+166.65</f>
        <v>801.58</v>
      </c>
      <c r="D91" s="44"/>
      <c r="E91" s="15"/>
      <c r="G91" s="11" t="s">
        <v>136</v>
      </c>
      <c r="H91" s="33">
        <v>28.48</v>
      </c>
      <c r="I91" s="33">
        <v>62.12</v>
      </c>
      <c r="J91" s="33">
        <v>16.329999999999998</v>
      </c>
      <c r="K91" s="33">
        <v>6.17</v>
      </c>
      <c r="L91" s="33">
        <v>0</v>
      </c>
      <c r="M91" s="33">
        <v>67.58</v>
      </c>
      <c r="N91" s="12">
        <v>56.75</v>
      </c>
    </row>
    <row r="92" spans="1:14" ht="14.65" thickBot="1" x14ac:dyDescent="0.5">
      <c r="A92" s="24"/>
      <c r="B92" s="42" t="s">
        <v>38</v>
      </c>
      <c r="C92" s="8">
        <v>246.97</v>
      </c>
      <c r="D92" s="44">
        <f>C92/$C$2</f>
        <v>3.3647138964577659</v>
      </c>
      <c r="E92" s="15">
        <f>C92/$C$3</f>
        <v>5.271504802561366</v>
      </c>
      <c r="G92" s="11" t="s">
        <v>137</v>
      </c>
      <c r="H92" s="33">
        <v>28.48</v>
      </c>
      <c r="I92" s="33">
        <v>62.12</v>
      </c>
      <c r="J92" s="33">
        <v>16.670000000000002</v>
      </c>
      <c r="K92" s="33">
        <v>6.43</v>
      </c>
      <c r="L92" s="33">
        <v>0</v>
      </c>
      <c r="M92" s="33">
        <v>71.290000000000006</v>
      </c>
      <c r="N92" s="12">
        <v>56.08</v>
      </c>
    </row>
    <row r="93" spans="1:14" x14ac:dyDescent="0.45">
      <c r="A93" s="24"/>
      <c r="B93" s="42" t="s">
        <v>59</v>
      </c>
      <c r="C93" s="43">
        <v>4.42</v>
      </c>
      <c r="D93" s="43"/>
      <c r="E93" s="15"/>
      <c r="G93" s="11" t="s">
        <v>138</v>
      </c>
      <c r="H93" s="33">
        <v>27.56</v>
      </c>
      <c r="I93" s="33">
        <v>60.12</v>
      </c>
      <c r="J93" s="33">
        <v>15.05</v>
      </c>
      <c r="K93" s="33">
        <v>5.86</v>
      </c>
      <c r="L93" s="33">
        <v>0</v>
      </c>
      <c r="M93" s="33">
        <v>56.7</v>
      </c>
      <c r="N93" s="12">
        <v>56.15</v>
      </c>
    </row>
    <row r="94" spans="1:14" x14ac:dyDescent="0.45">
      <c r="A94" s="24"/>
      <c r="B94" s="42" t="s">
        <v>64</v>
      </c>
      <c r="C94" s="43">
        <v>2.41</v>
      </c>
      <c r="D94" s="43"/>
      <c r="E94" s="15"/>
      <c r="G94" s="11" t="s">
        <v>139</v>
      </c>
      <c r="H94" s="33">
        <v>28.48</v>
      </c>
      <c r="I94" s="33">
        <v>62.12</v>
      </c>
      <c r="J94" s="33">
        <v>11.99</v>
      </c>
      <c r="K94" s="33">
        <v>2.52</v>
      </c>
      <c r="L94" s="33">
        <v>0.33</v>
      </c>
      <c r="M94" s="33">
        <v>11.9</v>
      </c>
      <c r="N94" s="12">
        <v>62.38</v>
      </c>
    </row>
    <row r="95" spans="1:14" ht="14.65" thickBot="1" x14ac:dyDescent="0.5">
      <c r="A95" s="24"/>
      <c r="B95" s="42" t="s">
        <v>60</v>
      </c>
      <c r="C95" s="43">
        <v>7.51</v>
      </c>
      <c r="D95" s="43"/>
      <c r="E95" s="15"/>
      <c r="G95" s="11" t="s">
        <v>140</v>
      </c>
      <c r="H95" s="33">
        <v>27.56</v>
      </c>
      <c r="I95" s="33">
        <v>60.12</v>
      </c>
      <c r="J95" s="33">
        <v>13.31</v>
      </c>
      <c r="K95" s="33">
        <v>2.4900000000000002</v>
      </c>
      <c r="L95" s="33">
        <v>59.55</v>
      </c>
      <c r="M95" s="33">
        <v>0.24</v>
      </c>
      <c r="N95" s="12">
        <v>69.56</v>
      </c>
    </row>
    <row r="96" spans="1:14" ht="14.65" thickBot="1" x14ac:dyDescent="0.5">
      <c r="A96" s="24"/>
      <c r="B96" s="45" t="s">
        <v>50</v>
      </c>
      <c r="C96" s="21">
        <f>172.02-21.08</f>
        <v>150.94</v>
      </c>
      <c r="D96" s="46"/>
      <c r="E96" s="74"/>
      <c r="G96" s="11" t="s">
        <v>141</v>
      </c>
      <c r="H96" s="33">
        <v>28.48</v>
      </c>
      <c r="I96" s="33">
        <v>62.12</v>
      </c>
      <c r="J96" s="33">
        <v>15.27</v>
      </c>
      <c r="K96" s="33">
        <v>3.21</v>
      </c>
      <c r="L96" s="33">
        <v>95.44</v>
      </c>
      <c r="M96" s="33">
        <v>0</v>
      </c>
      <c r="N96" s="12">
        <v>76.12</v>
      </c>
    </row>
    <row r="97" spans="1:14" ht="14.65" thickBot="1" x14ac:dyDescent="0.5">
      <c r="A97" s="24" t="s">
        <v>7</v>
      </c>
      <c r="B97" s="47" t="s">
        <v>66</v>
      </c>
      <c r="C97" s="22">
        <f>43.97-'BAU Results'!C99/0.05*0.95</f>
        <v>35.182499999999997</v>
      </c>
      <c r="D97" s="49"/>
      <c r="E97" s="16"/>
      <c r="G97" s="11"/>
      <c r="H97" s="33"/>
      <c r="I97" s="33"/>
      <c r="J97" s="33"/>
      <c r="K97" s="33"/>
      <c r="L97" s="33"/>
      <c r="M97" s="33"/>
      <c r="N97" s="12"/>
    </row>
    <row r="98" spans="1:14" ht="14.65" thickBot="1" x14ac:dyDescent="0.5">
      <c r="A98" s="24"/>
      <c r="B98" s="50" t="s">
        <v>63</v>
      </c>
      <c r="C98" s="51">
        <v>2350.09</v>
      </c>
      <c r="D98" s="51"/>
      <c r="E98" s="77"/>
      <c r="G98" s="18" t="s">
        <v>148</v>
      </c>
      <c r="H98" s="19">
        <v>335.31</v>
      </c>
      <c r="I98" s="19">
        <v>731.43</v>
      </c>
      <c r="J98" s="19">
        <v>172.02</v>
      </c>
      <c r="K98" s="19">
        <v>43.97</v>
      </c>
      <c r="L98" s="19">
        <v>493.45</v>
      </c>
      <c r="M98" s="19">
        <v>246.97</v>
      </c>
      <c r="N98" s="34">
        <v>804.6</v>
      </c>
    </row>
    <row r="99" spans="1:14" x14ac:dyDescent="0.45">
      <c r="A99" s="24"/>
      <c r="B99" s="50" t="s">
        <v>48</v>
      </c>
      <c r="C99" s="89">
        <v>804.6</v>
      </c>
      <c r="D99" s="53"/>
      <c r="E99" s="79"/>
    </row>
    <row r="100" spans="1:14" ht="14.65" thickBot="1" x14ac:dyDescent="0.5">
      <c r="A100" s="24"/>
      <c r="B100" s="50" t="s">
        <v>49</v>
      </c>
      <c r="C100" s="90">
        <v>0</v>
      </c>
      <c r="D100" s="51"/>
      <c r="E100" s="79"/>
    </row>
    <row r="101" spans="1:14" x14ac:dyDescent="0.45">
      <c r="A101" s="11"/>
      <c r="B101" s="54" t="s">
        <v>51</v>
      </c>
      <c r="C101" s="55">
        <f>C84+C85+C87+C92+C96+C97+C99+C100</f>
        <v>2797.8825000000002</v>
      </c>
      <c r="D101" s="56"/>
      <c r="E101" s="35"/>
    </row>
    <row r="102" spans="1:14" x14ac:dyDescent="0.45">
      <c r="A102" s="11"/>
      <c r="B102" s="33"/>
      <c r="C102" s="33"/>
      <c r="D102" s="33"/>
      <c r="E102" s="12"/>
    </row>
    <row r="103" spans="1:14" ht="15.75" x14ac:dyDescent="0.5">
      <c r="A103" s="24" t="s">
        <v>52</v>
      </c>
      <c r="B103" s="58" t="s">
        <v>40</v>
      </c>
      <c r="C103" s="59">
        <v>4055.7890000000002</v>
      </c>
      <c r="D103" s="33"/>
      <c r="E103" s="12"/>
    </row>
    <row r="104" spans="1:14" ht="15.75" x14ac:dyDescent="0.5">
      <c r="A104" s="24"/>
      <c r="B104" s="58" t="s">
        <v>41</v>
      </c>
      <c r="C104" s="60">
        <v>-167.9</v>
      </c>
      <c r="D104" s="33"/>
      <c r="E104" s="12"/>
    </row>
    <row r="105" spans="1:14" ht="15.75" x14ac:dyDescent="0.5">
      <c r="A105" s="24"/>
      <c r="B105" s="58" t="s">
        <v>42</v>
      </c>
      <c r="C105" s="60">
        <v>-116.64</v>
      </c>
      <c r="D105" s="33"/>
      <c r="E105" s="82"/>
    </row>
    <row r="106" spans="1:14" ht="15.75" x14ac:dyDescent="0.45">
      <c r="A106" s="24"/>
      <c r="B106" s="58" t="s">
        <v>43</v>
      </c>
      <c r="C106" s="61">
        <f>C103+C104+C105</f>
        <v>3771.2490000000003</v>
      </c>
      <c r="D106" s="33"/>
      <c r="E106" s="12"/>
    </row>
    <row r="107" spans="1:14" ht="15.75" x14ac:dyDescent="0.45">
      <c r="A107" s="24"/>
      <c r="B107" s="58" t="s">
        <v>44</v>
      </c>
      <c r="C107" s="62">
        <v>-1859.269</v>
      </c>
      <c r="D107" s="33"/>
      <c r="E107" s="12"/>
    </row>
    <row r="108" spans="1:14" ht="15.75" x14ac:dyDescent="0.5">
      <c r="A108" s="24"/>
      <c r="B108" s="58" t="s">
        <v>45</v>
      </c>
      <c r="C108" s="59">
        <f>C106+C107</f>
        <v>1911.9800000000002</v>
      </c>
      <c r="D108" s="33"/>
      <c r="E108" s="12"/>
    </row>
    <row r="109" spans="1:14" ht="15.75" x14ac:dyDescent="0.5">
      <c r="A109" s="24"/>
      <c r="B109" s="58" t="s">
        <v>46</v>
      </c>
      <c r="C109" s="60">
        <v>915.77</v>
      </c>
      <c r="D109" s="33"/>
      <c r="E109" s="12"/>
    </row>
    <row r="110" spans="1:14" ht="15.75" customHeight="1" x14ac:dyDescent="0.45">
      <c r="A110" s="24"/>
      <c r="B110" s="58" t="s">
        <v>47</v>
      </c>
      <c r="C110" s="61">
        <f>C108+C109</f>
        <v>2827.75</v>
      </c>
      <c r="D110" s="68" t="s">
        <v>159</v>
      </c>
      <c r="E110" s="83"/>
    </row>
    <row r="111" spans="1:14" x14ac:dyDescent="0.45">
      <c r="A111" s="11"/>
      <c r="B111" s="33"/>
      <c r="C111" s="33"/>
      <c r="D111" s="68"/>
      <c r="E111" s="83"/>
    </row>
    <row r="112" spans="1:14" x14ac:dyDescent="0.45">
      <c r="A112" s="11"/>
      <c r="B112" s="33"/>
      <c r="C112" s="33"/>
      <c r="D112" s="68"/>
      <c r="E112" s="83"/>
    </row>
    <row r="113" spans="1:14" ht="14.65" thickBot="1" x14ac:dyDescent="0.5">
      <c r="A113" s="18"/>
      <c r="B113" s="19"/>
      <c r="C113" s="19"/>
      <c r="D113" s="69"/>
      <c r="E113" s="84"/>
      <c r="F113" s="5"/>
    </row>
    <row r="115" spans="1:14" x14ac:dyDescent="0.45">
      <c r="A115" s="63" t="s">
        <v>153</v>
      </c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</row>
    <row r="116" spans="1:14" ht="14.65" thickBot="1" x14ac:dyDescent="0.5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</row>
    <row r="117" spans="1:14" x14ac:dyDescent="0.45">
      <c r="A117" s="29" t="s">
        <v>177</v>
      </c>
      <c r="B117" s="25"/>
      <c r="C117" s="25"/>
      <c r="D117" s="25"/>
      <c r="E117" s="26"/>
      <c r="G117" s="29" t="s">
        <v>177</v>
      </c>
      <c r="H117" s="25"/>
      <c r="I117" s="25"/>
      <c r="J117" s="25"/>
      <c r="K117" s="25"/>
      <c r="L117" s="25"/>
      <c r="M117" s="25"/>
      <c r="N117" s="26"/>
    </row>
    <row r="118" spans="1:14" x14ac:dyDescent="0.45">
      <c r="A118" s="30" t="s">
        <v>32</v>
      </c>
      <c r="B118" s="31"/>
      <c r="C118" s="31"/>
      <c r="D118" s="31"/>
      <c r="E118" s="27"/>
      <c r="G118" s="30" t="s">
        <v>149</v>
      </c>
      <c r="H118" s="31"/>
      <c r="I118" s="31"/>
      <c r="J118" s="31"/>
      <c r="K118" s="31"/>
      <c r="L118" s="31"/>
      <c r="M118" s="31"/>
      <c r="N118" s="27"/>
    </row>
    <row r="119" spans="1:14" x14ac:dyDescent="0.45">
      <c r="A119" s="24" t="s">
        <v>55</v>
      </c>
      <c r="B119" s="37" t="s">
        <v>33</v>
      </c>
      <c r="C119" s="38">
        <v>731.43</v>
      </c>
      <c r="D119" s="33"/>
      <c r="E119" s="12"/>
      <c r="G119" s="11"/>
      <c r="H119" s="32" t="s">
        <v>143</v>
      </c>
      <c r="I119" s="32" t="s">
        <v>142</v>
      </c>
      <c r="J119" s="32" t="s">
        <v>144</v>
      </c>
      <c r="K119" s="32" t="s">
        <v>145</v>
      </c>
      <c r="L119" s="32" t="s">
        <v>146</v>
      </c>
      <c r="M119" s="32" t="s">
        <v>147</v>
      </c>
      <c r="N119" s="13" t="s">
        <v>175</v>
      </c>
    </row>
    <row r="120" spans="1:14" x14ac:dyDescent="0.45">
      <c r="A120" s="24"/>
      <c r="B120" s="37" t="s">
        <v>34</v>
      </c>
      <c r="C120" s="38">
        <v>335.31</v>
      </c>
      <c r="D120" s="32" t="s">
        <v>35</v>
      </c>
      <c r="E120" s="13" t="s">
        <v>36</v>
      </c>
      <c r="G120" s="11" t="s">
        <v>130</v>
      </c>
      <c r="H120" s="33">
        <v>28.48</v>
      </c>
      <c r="I120" s="33">
        <v>62.12</v>
      </c>
      <c r="J120" s="33">
        <v>16.05</v>
      </c>
      <c r="K120" s="33">
        <v>3.26</v>
      </c>
      <c r="L120" s="33">
        <v>114.65</v>
      </c>
      <c r="M120" s="33">
        <v>0</v>
      </c>
      <c r="N120" s="12">
        <v>79.39</v>
      </c>
    </row>
    <row r="121" spans="1:14" ht="14.65" thickBot="1" x14ac:dyDescent="0.5">
      <c r="A121" s="24" t="s">
        <v>28</v>
      </c>
      <c r="B121" s="39" t="s">
        <v>61</v>
      </c>
      <c r="C121" s="41">
        <f>497.19+340.97+325.21</f>
        <v>1163.3700000000001</v>
      </c>
      <c r="D121" s="41"/>
      <c r="E121" s="14"/>
      <c r="G121" s="11" t="s">
        <v>131</v>
      </c>
      <c r="H121" s="33">
        <v>25.72</v>
      </c>
      <c r="I121" s="33">
        <v>56.11</v>
      </c>
      <c r="J121" s="33">
        <v>13.58</v>
      </c>
      <c r="K121" s="33">
        <v>2.71</v>
      </c>
      <c r="L121" s="33">
        <v>75.040000000000006</v>
      </c>
      <c r="M121" s="33">
        <v>0</v>
      </c>
      <c r="N121" s="12">
        <v>71.09</v>
      </c>
    </row>
    <row r="122" spans="1:14" ht="14.65" thickBot="1" x14ac:dyDescent="0.5">
      <c r="A122" s="24"/>
      <c r="B122" s="39" t="s">
        <v>37</v>
      </c>
      <c r="C122" s="7">
        <v>370.31</v>
      </c>
      <c r="D122" s="41">
        <f>C122/$C$2</f>
        <v>5.045095367847412</v>
      </c>
      <c r="E122" s="14">
        <f>C122/$C$3</f>
        <v>7.904162219850587</v>
      </c>
      <c r="G122" s="11" t="s">
        <v>132</v>
      </c>
      <c r="H122" s="33">
        <v>28.48</v>
      </c>
      <c r="I122" s="33">
        <v>62.12</v>
      </c>
      <c r="J122" s="33">
        <v>13.2</v>
      </c>
      <c r="K122" s="33">
        <v>1.84</v>
      </c>
      <c r="L122" s="33">
        <v>44.8</v>
      </c>
      <c r="M122" s="33">
        <v>0</v>
      </c>
      <c r="N122" s="12">
        <v>71.63</v>
      </c>
    </row>
    <row r="123" spans="1:14" x14ac:dyDescent="0.45">
      <c r="A123" s="24"/>
      <c r="B123" s="39" t="s">
        <v>56</v>
      </c>
      <c r="C123" s="40">
        <v>2.0499999999999998</v>
      </c>
      <c r="D123" s="41"/>
      <c r="E123" s="14"/>
      <c r="G123" s="11" t="s">
        <v>133</v>
      </c>
      <c r="H123" s="33">
        <v>27.56</v>
      </c>
      <c r="I123" s="33">
        <v>60.12</v>
      </c>
      <c r="J123" s="33">
        <v>12.37</v>
      </c>
      <c r="K123" s="33">
        <v>2.5299999999999998</v>
      </c>
      <c r="L123" s="33">
        <v>24.63</v>
      </c>
      <c r="M123" s="33">
        <v>6.68</v>
      </c>
      <c r="N123" s="12">
        <v>64.989999999999995</v>
      </c>
    </row>
    <row r="124" spans="1:14" x14ac:dyDescent="0.45">
      <c r="A124" s="24"/>
      <c r="B124" s="39" t="s">
        <v>57</v>
      </c>
      <c r="C124" s="40">
        <v>2.2000000000000002</v>
      </c>
      <c r="D124" s="41"/>
      <c r="E124" s="14"/>
      <c r="G124" s="11" t="s">
        <v>134</v>
      </c>
      <c r="H124" s="33">
        <v>28.48</v>
      </c>
      <c r="I124" s="33">
        <v>62.12</v>
      </c>
      <c r="J124" s="33">
        <v>12.68</v>
      </c>
      <c r="K124" s="33">
        <v>3.3</v>
      </c>
      <c r="L124" s="33">
        <v>2.12</v>
      </c>
      <c r="M124" s="33">
        <v>19.21</v>
      </c>
      <c r="N124" s="12">
        <v>61.71</v>
      </c>
    </row>
    <row r="125" spans="1:14" x14ac:dyDescent="0.45">
      <c r="A125" s="24"/>
      <c r="B125" s="39" t="s">
        <v>58</v>
      </c>
      <c r="C125" s="40">
        <v>12.81</v>
      </c>
      <c r="D125" s="41"/>
      <c r="E125" s="14"/>
      <c r="G125" s="11" t="s">
        <v>135</v>
      </c>
      <c r="H125" s="33">
        <v>27.56</v>
      </c>
      <c r="I125" s="33">
        <v>60.12</v>
      </c>
      <c r="J125" s="33">
        <v>14.58</v>
      </c>
      <c r="K125" s="33">
        <v>5.5</v>
      </c>
      <c r="L125" s="33">
        <v>0</v>
      </c>
      <c r="M125" s="33">
        <v>54.82</v>
      </c>
      <c r="N125" s="12">
        <v>53.82</v>
      </c>
    </row>
    <row r="126" spans="1:14" ht="14.65" thickBot="1" x14ac:dyDescent="0.5">
      <c r="A126" s="24"/>
      <c r="B126" s="42" t="s">
        <v>62</v>
      </c>
      <c r="C126" s="44">
        <f>671.56+351.71+314.09</f>
        <v>1337.36</v>
      </c>
      <c r="D126" s="44"/>
      <c r="E126" s="15"/>
      <c r="G126" s="11" t="s">
        <v>136</v>
      </c>
      <c r="H126" s="33">
        <v>28.48</v>
      </c>
      <c r="I126" s="33">
        <v>62.12</v>
      </c>
      <c r="J126" s="33">
        <v>18.75</v>
      </c>
      <c r="K126" s="33">
        <v>7.22</v>
      </c>
      <c r="L126" s="33">
        <v>0</v>
      </c>
      <c r="M126" s="33">
        <v>98.95</v>
      </c>
      <c r="N126" s="12">
        <v>52.91</v>
      </c>
    </row>
    <row r="127" spans="1:14" ht="14.65" thickBot="1" x14ac:dyDescent="0.5">
      <c r="A127" s="24"/>
      <c r="B127" s="42" t="s">
        <v>38</v>
      </c>
      <c r="C127" s="8">
        <v>406.73</v>
      </c>
      <c r="D127" s="44">
        <f>C127/$C$2</f>
        <v>5.5412806539509543</v>
      </c>
      <c r="E127" s="15">
        <f>C127/$C$3</f>
        <v>8.6815368196371399</v>
      </c>
      <c r="G127" s="11" t="s">
        <v>137</v>
      </c>
      <c r="H127" s="33">
        <v>28.48</v>
      </c>
      <c r="I127" s="33">
        <v>62.12</v>
      </c>
      <c r="J127" s="33">
        <v>19.11</v>
      </c>
      <c r="K127" s="33">
        <v>7.35</v>
      </c>
      <c r="L127" s="33">
        <v>0</v>
      </c>
      <c r="M127" s="33">
        <v>103.44</v>
      </c>
      <c r="N127" s="12">
        <v>52.38</v>
      </c>
    </row>
    <row r="128" spans="1:14" x14ac:dyDescent="0.45">
      <c r="A128" s="24"/>
      <c r="B128" s="42" t="s">
        <v>59</v>
      </c>
      <c r="C128" s="43">
        <v>8.1199999999999992</v>
      </c>
      <c r="D128" s="43"/>
      <c r="E128" s="15"/>
      <c r="G128" s="11" t="s">
        <v>138</v>
      </c>
      <c r="H128" s="33">
        <v>27.56</v>
      </c>
      <c r="I128" s="33">
        <v>60.12</v>
      </c>
      <c r="J128" s="33">
        <v>17.850000000000001</v>
      </c>
      <c r="K128" s="33">
        <v>7.13</v>
      </c>
      <c r="L128" s="33">
        <v>0</v>
      </c>
      <c r="M128" s="33">
        <v>93.81</v>
      </c>
      <c r="N128" s="12">
        <v>52.69</v>
      </c>
    </row>
    <row r="129" spans="1:14" x14ac:dyDescent="0.45">
      <c r="A129" s="24"/>
      <c r="B129" s="42" t="s">
        <v>64</v>
      </c>
      <c r="C129" s="43">
        <v>5.0199999999999996</v>
      </c>
      <c r="D129" s="43"/>
      <c r="E129" s="15"/>
      <c r="G129" s="11" t="s">
        <v>139</v>
      </c>
      <c r="H129" s="33">
        <v>28.48</v>
      </c>
      <c r="I129" s="33">
        <v>62.12</v>
      </c>
      <c r="J129" s="33">
        <v>12.92</v>
      </c>
      <c r="K129" s="33">
        <v>3.79</v>
      </c>
      <c r="L129" s="33">
        <v>0.02</v>
      </c>
      <c r="M129" s="33">
        <v>27.34</v>
      </c>
      <c r="N129" s="12">
        <v>59.23</v>
      </c>
    </row>
    <row r="130" spans="1:14" ht="14.65" thickBot="1" x14ac:dyDescent="0.5">
      <c r="A130" s="24"/>
      <c r="B130" s="42" t="s">
        <v>60</v>
      </c>
      <c r="C130" s="43">
        <v>20.329999999999998</v>
      </c>
      <c r="D130" s="43"/>
      <c r="E130" s="15"/>
      <c r="G130" s="11" t="s">
        <v>140</v>
      </c>
      <c r="H130" s="33">
        <v>27.56</v>
      </c>
      <c r="I130" s="33">
        <v>60.12</v>
      </c>
      <c r="J130" s="33">
        <v>12.52</v>
      </c>
      <c r="K130" s="33">
        <v>2.69</v>
      </c>
      <c r="L130" s="33">
        <v>38.770000000000003</v>
      </c>
      <c r="M130" s="33">
        <v>2.4700000000000002</v>
      </c>
      <c r="N130" s="12">
        <v>65.680000000000007</v>
      </c>
    </row>
    <row r="131" spans="1:14" ht="14.65" thickBot="1" x14ac:dyDescent="0.5">
      <c r="A131" s="24"/>
      <c r="B131" s="45" t="s">
        <v>50</v>
      </c>
      <c r="C131" s="21">
        <f>177.69-29.08</f>
        <v>148.61000000000001</v>
      </c>
      <c r="D131" s="46"/>
      <c r="E131" s="74"/>
      <c r="G131" s="11" t="s">
        <v>141</v>
      </c>
      <c r="H131" s="33">
        <v>28.48</v>
      </c>
      <c r="I131" s="33">
        <v>62.12</v>
      </c>
      <c r="J131" s="33">
        <v>14.08</v>
      </c>
      <c r="K131" s="33">
        <v>3.06</v>
      </c>
      <c r="L131" s="33">
        <v>70.28</v>
      </c>
      <c r="M131" s="33">
        <v>0</v>
      </c>
      <c r="N131" s="12">
        <v>72.319999999999993</v>
      </c>
    </row>
    <row r="132" spans="1:14" ht="14.65" thickBot="1" x14ac:dyDescent="0.5">
      <c r="A132" s="24" t="s">
        <v>7</v>
      </c>
      <c r="B132" s="47" t="s">
        <v>66</v>
      </c>
      <c r="C132" s="22">
        <f>50.38-'BAU Results'!C135/0.05*0.95</f>
        <v>38.400500000000001</v>
      </c>
      <c r="D132" s="49"/>
      <c r="E132" s="16"/>
      <c r="G132" s="11"/>
      <c r="H132" s="33"/>
      <c r="I132" s="33"/>
      <c r="J132" s="33"/>
      <c r="K132" s="33"/>
      <c r="L132" s="33"/>
      <c r="M132" s="33"/>
      <c r="N132" s="12"/>
    </row>
    <row r="133" spans="1:14" ht="14.65" thickBot="1" x14ac:dyDescent="0.5">
      <c r="A133" s="24"/>
      <c r="B133" s="50" t="s">
        <v>63</v>
      </c>
      <c r="C133" s="51">
        <v>2261.3000000000002</v>
      </c>
      <c r="D133" s="51"/>
      <c r="E133" s="77"/>
      <c r="G133" s="18" t="s">
        <v>148</v>
      </c>
      <c r="H133" s="19">
        <v>335.31</v>
      </c>
      <c r="I133" s="19">
        <v>731.43</v>
      </c>
      <c r="J133" s="19">
        <v>177.69</v>
      </c>
      <c r="K133" s="19">
        <v>50.38</v>
      </c>
      <c r="L133" s="19">
        <v>370.31</v>
      </c>
      <c r="M133" s="19">
        <v>406.73</v>
      </c>
      <c r="N133" s="34">
        <v>757.84</v>
      </c>
    </row>
    <row r="134" spans="1:14" x14ac:dyDescent="0.45">
      <c r="A134" s="24"/>
      <c r="B134" s="50" t="s">
        <v>48</v>
      </c>
      <c r="C134" s="89">
        <v>757.84</v>
      </c>
      <c r="D134" s="53"/>
      <c r="E134" s="79"/>
    </row>
    <row r="135" spans="1:14" ht="14.65" thickBot="1" x14ac:dyDescent="0.5">
      <c r="A135" s="24"/>
      <c r="B135" s="50" t="s">
        <v>49</v>
      </c>
      <c r="C135" s="90">
        <v>0</v>
      </c>
      <c r="D135" s="51"/>
      <c r="E135" s="79"/>
    </row>
    <row r="136" spans="1:14" x14ac:dyDescent="0.45">
      <c r="A136" s="11"/>
      <c r="B136" s="54" t="s">
        <v>51</v>
      </c>
      <c r="C136" s="55">
        <f>C119+C120+C122+C127+C131+C132+C134+C135</f>
        <v>2788.6304999999998</v>
      </c>
      <c r="D136" s="57"/>
      <c r="E136" s="35"/>
    </row>
    <row r="137" spans="1:14" x14ac:dyDescent="0.45">
      <c r="A137" s="11"/>
      <c r="B137" s="33"/>
      <c r="C137" s="33"/>
      <c r="D137" s="33"/>
      <c r="E137" s="12"/>
    </row>
    <row r="138" spans="1:14" ht="15.75" x14ac:dyDescent="0.5">
      <c r="A138" s="24" t="s">
        <v>52</v>
      </c>
      <c r="B138" s="58" t="s">
        <v>40</v>
      </c>
      <c r="C138" s="59">
        <v>4102.5609999999997</v>
      </c>
      <c r="D138" s="33"/>
      <c r="E138" s="12"/>
    </row>
    <row r="139" spans="1:14" ht="15.75" x14ac:dyDescent="0.5">
      <c r="A139" s="24"/>
      <c r="B139" s="58" t="s">
        <v>41</v>
      </c>
      <c r="C139" s="60">
        <v>-168.84</v>
      </c>
      <c r="D139" s="33"/>
      <c r="E139" s="12"/>
    </row>
    <row r="140" spans="1:14" ht="15.75" x14ac:dyDescent="0.5">
      <c r="A140" s="24"/>
      <c r="B140" s="58" t="s">
        <v>42</v>
      </c>
      <c r="C140" s="60">
        <v>-118.01</v>
      </c>
      <c r="D140" s="33"/>
      <c r="E140" s="82"/>
    </row>
    <row r="141" spans="1:14" ht="15.75" x14ac:dyDescent="0.45">
      <c r="A141" s="24"/>
      <c r="B141" s="58" t="s">
        <v>43</v>
      </c>
      <c r="C141" s="61">
        <f>C138+C139+C140</f>
        <v>3815.7109999999993</v>
      </c>
      <c r="D141" s="33"/>
      <c r="E141" s="12"/>
    </row>
    <row r="142" spans="1:14" ht="15.75" x14ac:dyDescent="0.45">
      <c r="A142" s="24"/>
      <c r="B142" s="58" t="s">
        <v>44</v>
      </c>
      <c r="C142" s="62">
        <v>-1890.4929999999999</v>
      </c>
      <c r="D142" s="33"/>
      <c r="E142" s="12"/>
    </row>
    <row r="143" spans="1:14" ht="15.75" x14ac:dyDescent="0.5">
      <c r="A143" s="24"/>
      <c r="B143" s="58" t="s">
        <v>45</v>
      </c>
      <c r="C143" s="59">
        <f>C141+C142</f>
        <v>1925.2179999999994</v>
      </c>
      <c r="D143" s="33"/>
      <c r="E143" s="12"/>
    </row>
    <row r="144" spans="1:14" ht="15.75" x14ac:dyDescent="0.5">
      <c r="A144" s="24"/>
      <c r="B144" s="58" t="s">
        <v>46</v>
      </c>
      <c r="C144" s="60">
        <v>904.48500000000001</v>
      </c>
      <c r="D144" s="33"/>
      <c r="E144" s="12"/>
    </row>
    <row r="145" spans="1:6" ht="15.75" customHeight="1" x14ac:dyDescent="0.45">
      <c r="A145" s="24"/>
      <c r="B145" s="58" t="s">
        <v>47</v>
      </c>
      <c r="C145" s="61">
        <f>C143+C144</f>
        <v>2829.7029999999995</v>
      </c>
      <c r="D145" s="68" t="s">
        <v>176</v>
      </c>
      <c r="E145" s="83"/>
    </row>
    <row r="146" spans="1:6" x14ac:dyDescent="0.45">
      <c r="A146" s="11"/>
      <c r="B146" s="33"/>
      <c r="C146" s="33"/>
      <c r="D146" s="68"/>
      <c r="E146" s="83"/>
    </row>
    <row r="147" spans="1:6" x14ac:dyDescent="0.45">
      <c r="A147" s="11"/>
      <c r="B147" s="33"/>
      <c r="C147" s="33"/>
      <c r="D147" s="68"/>
      <c r="E147" s="83"/>
    </row>
    <row r="148" spans="1:6" ht="14.65" thickBot="1" x14ac:dyDescent="0.5">
      <c r="A148" s="18"/>
      <c r="B148" s="19"/>
      <c r="C148" s="19"/>
      <c r="D148" s="69"/>
      <c r="E148" s="84"/>
      <c r="F148" s="5"/>
    </row>
  </sheetData>
  <mergeCells count="41">
    <mergeCell ref="A121:A131"/>
    <mergeCell ref="A132:A135"/>
    <mergeCell ref="A138:A145"/>
    <mergeCell ref="D145:E148"/>
    <mergeCell ref="A115:N116"/>
    <mergeCell ref="A117:E117"/>
    <mergeCell ref="G117:N117"/>
    <mergeCell ref="A118:E118"/>
    <mergeCell ref="G118:N118"/>
    <mergeCell ref="A119:A120"/>
    <mergeCell ref="A83:E83"/>
    <mergeCell ref="G83:N83"/>
    <mergeCell ref="A84:A85"/>
    <mergeCell ref="A86:A96"/>
    <mergeCell ref="A97:A100"/>
    <mergeCell ref="A103:A110"/>
    <mergeCell ref="D110:E113"/>
    <mergeCell ref="A62:A65"/>
    <mergeCell ref="A68:A75"/>
    <mergeCell ref="D75:E78"/>
    <mergeCell ref="A80:N81"/>
    <mergeCell ref="A82:E82"/>
    <mergeCell ref="G82:N82"/>
    <mergeCell ref="A47:E47"/>
    <mergeCell ref="G47:N47"/>
    <mergeCell ref="A48:E48"/>
    <mergeCell ref="G48:N48"/>
    <mergeCell ref="A49:A50"/>
    <mergeCell ref="A51:A61"/>
    <mergeCell ref="A11:A21"/>
    <mergeCell ref="A22:A25"/>
    <mergeCell ref="A28:A35"/>
    <mergeCell ref="D35:E38"/>
    <mergeCell ref="D39:E42"/>
    <mergeCell ref="A45:N46"/>
    <mergeCell ref="A5:N6"/>
    <mergeCell ref="A7:E7"/>
    <mergeCell ref="G7:N7"/>
    <mergeCell ref="A8:E8"/>
    <mergeCell ref="G8:N8"/>
    <mergeCell ref="A9:A10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BAU</vt:lpstr>
      <vt:lpstr>Multisplit</vt:lpstr>
      <vt:lpstr>HP</vt:lpstr>
      <vt:lpstr>PV</vt:lpstr>
      <vt:lpstr>EPW</vt:lpstr>
      <vt:lpstr>BAU Results</vt:lpstr>
      <vt:lpstr>Multisplit Results</vt:lpstr>
      <vt:lpstr>HP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MSF</dc:creator>
  <cp:lastModifiedBy>MSF</cp:lastModifiedBy>
  <dcterms:created xsi:type="dcterms:W3CDTF">2026-07-10T08:15:40Z</dcterms:created>
  <dcterms:modified xsi:type="dcterms:W3CDTF">2026-07-15T13:48:06Z</dcterms:modified>
</cp:coreProperties>
</file>