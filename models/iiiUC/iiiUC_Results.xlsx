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fer\OneDrive\Desktop\"/>
    </mc:Choice>
  </mc:AlternateContent>
  <xr:revisionPtr revIDLastSave="0" documentId="13_ncr:1_{052B5BE9-3AE0-4E8C-B31E-6BB27C2E361E}" xr6:coauthVersionLast="47" xr6:coauthVersionMax="47" xr10:uidLastSave="{00000000-0000-0000-0000-000000000000}"/>
  <bookViews>
    <workbookView xWindow="-98" yWindow="-98" windowWidth="21795" windowHeight="12975" activeTab="3" xr2:uid="{1441FD13-53DE-4D14-82EA-13AED67F5F6E}"/>
  </bookViews>
  <sheets>
    <sheet name="BAU" sheetId="2" r:id="rId1"/>
    <sheet name="Multisplit" sheetId="6" r:id="rId2"/>
    <sheet name="HP" sheetId="3" r:id="rId3"/>
    <sheet name="PV" sheetId="7" r:id="rId4"/>
    <sheet name="EPW" sheetId="8" r:id="rId5"/>
    <sheet name="BAU Results" sheetId="9" r:id="rId6"/>
    <sheet name="Multisplit Results" sheetId="10" r:id="rId7"/>
    <sheet name="HP Results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0" l="1"/>
  <c r="C2" i="11"/>
  <c r="C1" i="11"/>
  <c r="C1" i="10"/>
  <c r="C119" i="11"/>
  <c r="C114" i="11"/>
  <c r="C120" i="10"/>
  <c r="C115" i="10"/>
  <c r="C84" i="11"/>
  <c r="C79" i="11"/>
  <c r="C85" i="10"/>
  <c r="C80" i="10"/>
  <c r="C49" i="11"/>
  <c r="C44" i="11"/>
  <c r="C50" i="10"/>
  <c r="C45" i="10"/>
  <c r="C15" i="11"/>
  <c r="C15" i="10"/>
  <c r="C10" i="11"/>
  <c r="C10" i="10"/>
  <c r="C94" i="11"/>
  <c r="C134" i="11"/>
  <c r="C136" i="11" s="1"/>
  <c r="C138" i="11" s="1"/>
  <c r="C99" i="11"/>
  <c r="C101" i="11" s="1"/>
  <c r="C103" i="11" s="1"/>
  <c r="C64" i="11"/>
  <c r="C66" i="11" s="1"/>
  <c r="C68" i="11" s="1"/>
  <c r="C30" i="11"/>
  <c r="C32" i="11" s="1"/>
  <c r="C34" i="11" s="1"/>
  <c r="C135" i="10"/>
  <c r="C137" i="10" s="1"/>
  <c r="C139" i="10" s="1"/>
  <c r="C100" i="10"/>
  <c r="C102" i="10" s="1"/>
  <c r="C104" i="10" s="1"/>
  <c r="C65" i="10"/>
  <c r="C67" i="10" s="1"/>
  <c r="C69" i="10" s="1"/>
  <c r="C30" i="10"/>
  <c r="C32" i="10" s="1"/>
  <c r="C34" i="10" s="1"/>
  <c r="C136" i="9"/>
  <c r="C138" i="9" s="1"/>
  <c r="C140" i="9" s="1"/>
  <c r="C131" i="9"/>
  <c r="C96" i="9"/>
  <c r="C101" i="9"/>
  <c r="C103" i="9" s="1"/>
  <c r="C105" i="9" s="1"/>
  <c r="C66" i="9"/>
  <c r="C68" i="9" s="1"/>
  <c r="C70" i="9" s="1"/>
  <c r="C30" i="9"/>
  <c r="C32" i="9" s="1"/>
  <c r="C34" i="9" s="1"/>
  <c r="C25" i="9"/>
  <c r="H4" i="7"/>
  <c r="H3" i="7"/>
  <c r="H2" i="7"/>
  <c r="I4" i="7"/>
  <c r="D3" i="7"/>
  <c r="F3" i="7" s="1"/>
  <c r="G3" i="7" s="1"/>
  <c r="D2" i="7"/>
  <c r="F2" i="7" s="1"/>
  <c r="G2" i="7" s="1"/>
  <c r="C61" i="9" l="1"/>
  <c r="C129" i="11"/>
  <c r="C59" i="11"/>
  <c r="C25" i="11"/>
  <c r="E120" i="11"/>
  <c r="E115" i="11"/>
  <c r="E50" i="11"/>
  <c r="E85" i="11"/>
  <c r="E80" i="11"/>
  <c r="E11" i="11"/>
  <c r="E45" i="11"/>
  <c r="E16" i="11"/>
  <c r="D120" i="11"/>
  <c r="D80" i="11"/>
  <c r="D115" i="11"/>
  <c r="D45" i="11"/>
  <c r="D11" i="11"/>
  <c r="D85" i="11"/>
  <c r="D50" i="11"/>
  <c r="D16" i="11"/>
  <c r="C95" i="10"/>
  <c r="C60" i="10"/>
  <c r="C130" i="10"/>
  <c r="C25" i="10"/>
  <c r="E121" i="10"/>
  <c r="E116" i="10"/>
  <c r="E81" i="10"/>
  <c r="E16" i="10"/>
  <c r="E86" i="10"/>
  <c r="E46" i="10"/>
  <c r="E51" i="10"/>
  <c r="E11" i="10"/>
  <c r="D46" i="10"/>
  <c r="D121" i="10"/>
  <c r="D116" i="10"/>
  <c r="D81" i="10"/>
  <c r="D51" i="10"/>
  <c r="D16" i="10"/>
  <c r="D11" i="10"/>
  <c r="D86" i="10"/>
  <c r="E122" i="9"/>
  <c r="E87" i="9"/>
  <c r="E82" i="9"/>
  <c r="E117" i="9"/>
  <c r="D122" i="9"/>
  <c r="D82" i="9"/>
  <c r="D117" i="9"/>
  <c r="D87" i="9"/>
  <c r="E47" i="9"/>
  <c r="E11" i="9"/>
  <c r="E52" i="9"/>
  <c r="E16" i="9"/>
  <c r="D16" i="9"/>
  <c r="D52" i="9"/>
  <c r="D47" i="9"/>
  <c r="D11" i="9"/>
  <c r="G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MSF</author>
  </authors>
  <commentList>
    <comment ref="B2" authorId="0" shapeId="0" xr:uid="{9EEAF91A-C474-4F28-9FD6-D16A927F9C4B}">
      <text>
        <r>
          <rPr>
            <b/>
            <sz val="9"/>
            <color indexed="81"/>
            <rFont val="Tahoma"/>
            <family val="2"/>
          </rPr>
          <t>Salas e quartos</t>
        </r>
      </text>
    </comment>
    <comment ref="C28" authorId="0" shapeId="0" xr:uid="{C57BDA8B-F690-4430-A827-9EAC3C1A2C80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31" authorId="0" shapeId="0" xr:uid="{6DFCD13A-F5F4-48DB-AD7E-92567F7BB133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64" authorId="0" shapeId="0" xr:uid="{C23C1306-AB92-4AC2-A693-1A795C426422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67" authorId="0" shapeId="0" xr:uid="{3A83D38F-FA7F-4A51-8079-3FE14B077F74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99" authorId="0" shapeId="0" xr:uid="{6019E35E-AD61-4DE3-9C2B-92AF7ABA4DB2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02" authorId="0" shapeId="0" xr:uid="{4CB8FF8C-0391-47ED-9FFD-4D1C1907D2A7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134" authorId="0" shapeId="0" xr:uid="{F2BF2FF3-4C00-447F-86CB-14B2D8DAF46D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37" authorId="0" shapeId="0" xr:uid="{F085F7DE-8F1E-44F2-A83B-E46D3E12AD78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MSF</author>
  </authors>
  <commentList>
    <comment ref="B2" authorId="0" shapeId="0" xr:uid="{426651DE-D506-4951-BAC5-DDF31E7EA41A}">
      <text>
        <r>
          <rPr>
            <b/>
            <sz val="9"/>
            <color indexed="81"/>
            <rFont val="Tahoma"/>
            <family val="2"/>
          </rPr>
          <t>Salas e quartos</t>
        </r>
      </text>
    </comment>
    <comment ref="C28" authorId="0" shapeId="0" xr:uid="{D5931F24-3969-4B1C-9A64-D4DD7B50550B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31" authorId="0" shapeId="0" xr:uid="{5A005457-1E89-4C5F-9136-2F87EEA3A44C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63" authorId="0" shapeId="0" xr:uid="{D6A79719-946A-4521-8DBE-832E63C1DF7D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66" authorId="0" shapeId="0" xr:uid="{5D95F21B-EE10-43AB-A0F4-476FBDFB1313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98" authorId="0" shapeId="0" xr:uid="{7F1ECCBD-DF9E-4A58-8381-A783194C2AD8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01" authorId="0" shapeId="0" xr:uid="{C576FAF1-E94B-4A40-8613-F6F5505D4F4B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133" authorId="0" shapeId="0" xr:uid="{76DC9B75-96BA-47D8-AA30-E79F666B9616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36" authorId="0" shapeId="0" xr:uid="{C81B7705-BB1B-4373-8AAF-495582DB4D5F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MSF</author>
  </authors>
  <commentList>
    <comment ref="B2" authorId="0" shapeId="0" xr:uid="{6B888E44-0DAC-465E-B9BE-1D6B1D2EAE7B}">
      <text>
        <r>
          <rPr>
            <b/>
            <sz val="9"/>
            <color indexed="81"/>
            <rFont val="Tahoma"/>
            <family val="2"/>
          </rPr>
          <t>Salas e quartos</t>
        </r>
      </text>
    </comment>
    <comment ref="C28" authorId="0" shapeId="0" xr:uid="{976EAD92-A948-406F-AE01-40EDEE82F0C4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31" authorId="0" shapeId="0" xr:uid="{017A5FF3-10FC-489B-A1F4-824B2901F2C3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62" authorId="0" shapeId="0" xr:uid="{B94F335D-C36B-45D6-87FB-74743C3D8BAF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65" authorId="0" shapeId="0" xr:uid="{345EF1C0-BBF0-43AD-8D7E-29760CE94F60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97" authorId="0" shapeId="0" xr:uid="{82A9E6CF-D82D-45F8-A4AC-0A3EF6DEDD8A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00" authorId="0" shapeId="0" xr:uid="{670D2972-6F97-4E72-8BA0-4BF975FBC87E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  <comment ref="C132" authorId="0" shapeId="0" xr:uid="{CE5614C4-9BED-44F5-ACA7-CD17BD0192B8}">
      <text>
        <r>
          <rPr>
            <b/>
            <sz val="9"/>
            <color indexed="81"/>
            <rFont val="Tahoma"/>
            <family val="2"/>
          </rPr>
          <t>Valor negativo: armazenamento líquido anual é positivo (negativo para o sistema)</t>
        </r>
      </text>
    </comment>
    <comment ref="C135" authorId="0" shapeId="0" xr:uid="{5A8BAB56-9F6C-4BD8-BF12-0121F7EC1BB7}">
      <text>
        <r>
          <rPr>
            <b/>
            <sz val="9"/>
            <color indexed="81"/>
            <rFont val="Tahoma"/>
            <family val="2"/>
          </rPr>
          <t>Valor negativo: energia que se vende à rede</t>
        </r>
      </text>
    </comment>
  </commentList>
</comments>
</file>

<file path=xl/sharedStrings.xml><?xml version="1.0" encoding="utf-8"?>
<sst xmlns="http://schemas.openxmlformats.org/spreadsheetml/2006/main" count="733" uniqueCount="113">
  <si>
    <t>Heating (kW)</t>
  </si>
  <si>
    <t>Cooling (kW)</t>
  </si>
  <si>
    <t>DHW</t>
  </si>
  <si>
    <t>HVAC</t>
  </si>
  <si>
    <t>Building useful area (m2)</t>
  </si>
  <si>
    <t>Conditioned useful area (m2)</t>
  </si>
  <si>
    <t>Annual</t>
  </si>
  <si>
    <t>Equipment electricity (kWh)</t>
  </si>
  <si>
    <t>Lighting electricity (kWh)</t>
  </si>
  <si>
    <t>Per building m2</t>
  </si>
  <si>
    <t>Per conditioned m2</t>
  </si>
  <si>
    <t>Heating electricity (kWh)</t>
  </si>
  <si>
    <t>Cooling electricity (kWh)</t>
  </si>
  <si>
    <t>-</t>
  </si>
  <si>
    <t>PV generation (kWh)</t>
  </si>
  <si>
    <t>Inverter losses (kWh)</t>
  </si>
  <si>
    <t>Useful PV generation (kWh)</t>
  </si>
  <si>
    <t>Surplus to utility (kWh)</t>
  </si>
  <si>
    <t>Generation to building  (kWh)</t>
  </si>
  <si>
    <t>Electricity from utility (kWh)</t>
  </si>
  <si>
    <t>Building needs (kWh)</t>
  </si>
  <si>
    <t>DHW electricity HP (kWh)</t>
  </si>
  <si>
    <t>DHW electricity backup (kWh)</t>
  </si>
  <si>
    <t>Fans (kWh)</t>
  </si>
  <si>
    <t>TOTAL ELECTRICITY (kWh)</t>
  </si>
  <si>
    <t>PV</t>
  </si>
  <si>
    <t>BAU</t>
  </si>
  <si>
    <t>DHW nat. gas (kWh)</t>
  </si>
  <si>
    <t>GEN.</t>
  </si>
  <si>
    <t>Heating thermal needs (kWh)</t>
  </si>
  <si>
    <t>Cooling thermal needs (kWh)</t>
  </si>
  <si>
    <t>DHW thermal needs (kWh)</t>
  </si>
  <si>
    <t>Pumps (kWh)</t>
  </si>
  <si>
    <t>Considerado:</t>
  </si>
  <si>
    <t>AQUECIMENTO</t>
  </si>
  <si>
    <t>Radiador eléctrico, 1.5 kW, COP = 1</t>
  </si>
  <si>
    <t>ARREFECIMENTO</t>
  </si>
  <si>
    <t>AC, 2.6 kW térmicos, COP = 2.6, caudal ar = 320 m3/h</t>
  </si>
  <si>
    <t>NECESSIDADES TÉRMICAS (heating/cooling design)</t>
  </si>
  <si>
    <t>MODELAÇÃO DESIGNBUILDER:</t>
  </si>
  <si>
    <t>Aquecimento: 1 radiador eléctrico p/zona</t>
  </si>
  <si>
    <t>Arrefecimento: 1 packaged terminal air conditioner por zona apenas em arrefecimento</t>
  </si>
  <si>
    <t>C (m)</t>
  </si>
  <si>
    <t>L (m)</t>
  </si>
  <si>
    <t>A (m2)</t>
  </si>
  <si>
    <t>P (W)</t>
  </si>
  <si>
    <t>P' (W/m2)</t>
  </si>
  <si>
    <t>Eficiência (%)</t>
  </si>
  <si>
    <t>Link</t>
  </si>
  <si>
    <t>A</t>
  </si>
  <si>
    <t>B</t>
  </si>
  <si>
    <t>https://www.solarshop.pt/pt/hyundai-hyundai-455w-hit-h455le-fb-painel-solar-unidade</t>
  </si>
  <si>
    <t>https://www.solarshop.pt/pt/dmegc-dmegc-450w---dm450g12rt-painel-solar-unidade</t>
  </si>
  <si>
    <t>P_12 m2 (W)</t>
  </si>
  <si>
    <t>n_módulos</t>
  </si>
  <si>
    <t>Para 12 m2 tem-se:</t>
  </si>
  <si>
    <t>6 módulos</t>
  </si>
  <si>
    <t>Inversor 97%</t>
  </si>
  <si>
    <t>Bateria 5 kWh, 95% effic</t>
  </si>
  <si>
    <t xml:space="preserve"> ~2700 W total</t>
  </si>
  <si>
    <t>PRT_CN_Coimbra.AP.085480_TMYx.2007-2021</t>
  </si>
  <si>
    <t>https://climate.onebuilding.org/WMO_Region_6_Europe/PRT_Portugal/index.html</t>
  </si>
  <si>
    <t>Jan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</si>
  <si>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</si>
  <si>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</si>
  <si>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</si>
  <si>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</si>
  <si>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</si>
  <si>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</si>
  <si>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</si>
  <si>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</si>
  <si>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</si>
  <si>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</si>
  <si>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</si>
  <si>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</si>
  <si>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Equipment elect. (kWh)</t>
  </si>
  <si>
    <t>Lighting elect. (kWh)</t>
  </si>
  <si>
    <t>Fans elect. (kWh)</t>
  </si>
  <si>
    <t>Pumps elect. (kWh)</t>
  </si>
  <si>
    <t>Heating elect. (kWh)</t>
  </si>
  <si>
    <t>Cooling elect. (kWh)</t>
  </si>
  <si>
    <t>Annual Sum</t>
  </si>
  <si>
    <t>Monthly</t>
  </si>
  <si>
    <t>2050 SSP2-4.5</t>
  </si>
  <si>
    <t>2050 SSP3-7.0</t>
  </si>
  <si>
    <t>2080 SSP3-7.0</t>
  </si>
  <si>
    <t>PRESENT DAY</t>
  </si>
  <si>
    <t>Morphed projections of PRT_CN_Coimbra.AP.085480_TMYx.2007-2021, using the Future Weather Generator v. 4.3.0 (ensemble of all CMIP6 models)</t>
  </si>
  <si>
    <t>https://future-weather-generator.adai.pt/</t>
  </si>
  <si>
    <t>Present day</t>
  </si>
  <si>
    <t xml:space="preserve">  Feb</t>
  </si>
  <si>
    <t xml:space="preserve">  Mar</t>
  </si>
  <si>
    <t xml:space="preserve">  Apr</t>
  </si>
  <si>
    <t xml:space="preserve">  May</t>
  </si>
  <si>
    <t xml:space="preserve">  Jun</t>
  </si>
  <si>
    <t xml:space="preserve">  Jul</t>
  </si>
  <si>
    <t xml:space="preserve">  Aug</t>
  </si>
  <si>
    <t xml:space="preserve">  Sep</t>
  </si>
  <si>
    <t xml:space="preserve">  Oct</t>
  </si>
  <si>
    <t xml:space="preserve">  Nov</t>
  </si>
  <si>
    <t xml:space="preserve">  Dec</t>
  </si>
  <si>
    <t>Multisplit</t>
  </si>
  <si>
    <t>HP</t>
  </si>
  <si>
    <t>Heating Setpoint Unmet Degree-Hours [°C·hr] - TOTAL</t>
  </si>
  <si>
    <t>Cooling Setpoint Unmet Degree-Hours [°C·hr] - TOTAL</t>
  </si>
  <si>
    <t>Orientação Sudoeste</t>
  </si>
  <si>
    <t>Aquecimento/Arrefecimento: 1 packaged terminal heat pump por zona (com as especificações das unidades interiores do multisplit e os COP da unidade exterior)</t>
  </si>
  <si>
    <t>A preencher (idêntico ao considerado anteriormente)</t>
  </si>
  <si>
    <t>Aquecimento: 1 bomba de calor ar-água (heating) que alimenta as serpentinas dos fancoils (1 por zona)</t>
  </si>
  <si>
    <t>Arrefecimento: 1 bomba de calor ar-água (cooling) que alimenta as serpentinas dos fancoils (1 por zona)</t>
  </si>
  <si>
    <t>Net Storage (kWh)</t>
  </si>
  <si>
    <t>Considera-se um performance ratio de 75% para se obter &lt;1500 kWh/kWp/ano (típico de Coimbra): eficiência PV = 22.7*0.75 = ~17% (constante no programa; i.e., média que considera as variações diárias e sazonais)</t>
  </si>
  <si>
    <t>Considera-se uma inclinação de 30% (igual à inclinação do telhado)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</si>
</sst>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4E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4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vertical="center" wrapText="1"/>
    </xf>
    <xf numFmtId="0" fontId="9" fillId="4" borderId="1" xfId="0" applyFont="1" applyFill="1" applyBorder="1"/>
    <xf numFmtId="0" fontId="9" fillId="2" borderId="1" xfId="0" applyFont="1" applyFill="1" applyBorder="1"/>
    <xf numFmtId="0" fontId="0" fillId="0" borderId="5" xfId="0" applyBorder="1"/>
    <xf numFmtId="0" fontId="0" fillId="0" borderId="6" xfId="0" applyBorder="1"/>
    <xf numFmtId="0" fontId="2" fillId="0" borderId="6" xfId="0" applyFont="1" applyBorder="1"/>
    <xf numFmtId="164" fontId="0" fillId="4" borderId="6" xfId="0" applyNumberFormat="1" applyFill="1" applyBorder="1"/>
    <xf numFmtId="164" fontId="0" fillId="2" borderId="6" xfId="0" applyNumberFormat="1" applyFill="1" applyBorder="1"/>
    <xf numFmtId="164" fontId="0" fillId="6" borderId="6" xfId="0" applyNumberFormat="1" applyFill="1" applyBorder="1"/>
    <xf numFmtId="0" fontId="2" fillId="3" borderId="0" xfId="0" applyFont="1" applyFill="1"/>
    <xf numFmtId="0" fontId="0" fillId="0" borderId="7" xfId="0" applyBorder="1"/>
    <xf numFmtId="0" fontId="0" fillId="0" borderId="8" xfId="0" applyBorder="1"/>
    <xf numFmtId="0" fontId="8" fillId="0" borderId="0" xfId="0" applyFont="1"/>
    <xf numFmtId="2" fontId="6" fillId="5" borderId="1" xfId="0" applyNumberFormat="1" applyFont="1" applyFill="1" applyBorder="1"/>
    <xf numFmtId="2" fontId="6" fillId="6" borderId="1" xfId="0" applyNumberFormat="1" applyFont="1" applyFill="1" applyBorder="1"/>
    <xf numFmtId="165" fontId="0" fillId="0" borderId="0" xfId="0" applyNumberFormat="1"/>
    <xf numFmtId="0" fontId="0" fillId="0" borderId="9" xfId="0" applyBorder="1"/>
    <xf numFmtId="0" fontId="0" fillId="8" borderId="6" xfId="0" applyFill="1" applyBorder="1"/>
    <xf numFmtId="0" fontId="10" fillId="0" borderId="0" xfId="0" applyFont="1" applyAlignment="1">
      <alignment vertical="center" wrapText="1"/>
    </xf>
    <xf numFmtId="0" fontId="2" fillId="7" borderId="0" xfId="0" applyFont="1" applyFill="1"/>
    <xf numFmtId="0" fontId="2" fillId="4" borderId="0" xfId="0" applyFont="1" applyFill="1"/>
    <xf numFmtId="0" fontId="0" fillId="4" borderId="0" xfId="0" applyFill="1"/>
    <xf numFmtId="164" fontId="0" fillId="4" borderId="0" xfId="0" applyNumberFormat="1" applyFill="1"/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/>
    <xf numFmtId="0" fontId="2" fillId="5" borderId="0" xfId="0" applyFont="1" applyFill="1"/>
    <xf numFmtId="0" fontId="0" fillId="5" borderId="0" xfId="0" applyFill="1"/>
    <xf numFmtId="0" fontId="2" fillId="6" borderId="0" xfId="0" applyFont="1" applyFill="1"/>
    <xf numFmtId="0" fontId="6" fillId="6" borderId="0" xfId="0" applyFont="1" applyFill="1"/>
    <xf numFmtId="0" fontId="0" fillId="6" borderId="0" xfId="0" applyFill="1"/>
    <xf numFmtId="0" fontId="0" fillId="3" borderId="0" xfId="0" applyFill="1"/>
    <xf numFmtId="0" fontId="5" fillId="3" borderId="0" xfId="0" applyFont="1" applyFill="1"/>
    <xf numFmtId="0" fontId="1" fillId="3" borderId="0" xfId="0" applyFont="1" applyFill="1" applyAlignment="1">
      <alignment horizontal="left" vertical="top"/>
    </xf>
    <xf numFmtId="0" fontId="2" fillId="8" borderId="0" xfId="0" applyFont="1" applyFill="1"/>
    <xf numFmtId="2" fontId="11" fillId="8" borderId="0" xfId="0" applyNumberFormat="1" applyFont="1" applyFill="1"/>
    <xf numFmtId="0" fontId="0" fillId="8" borderId="0" xfId="0" applyFill="1"/>
    <xf numFmtId="2" fontId="0" fillId="8" borderId="0" xfId="0" applyNumberFormat="1" applyFill="1"/>
    <xf numFmtId="0" fontId="2" fillId="0" borderId="0" xfId="0" applyFont="1" applyAlignment="1">
      <alignment horizontal="left"/>
    </xf>
    <xf numFmtId="2" fontId="4" fillId="0" borderId="0" xfId="0" applyNumberFormat="1" applyFont="1"/>
    <xf numFmtId="0" fontId="4" fillId="0" borderId="0" xfId="0" applyFont="1"/>
    <xf numFmtId="2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8" fillId="0" borderId="0" xfId="1" applyFont="1"/>
    <xf numFmtId="164" fontId="0" fillId="5" borderId="6" xfId="0" applyNumberFormat="1" applyFill="1" applyBorder="1"/>
    <xf numFmtId="164" fontId="0" fillId="3" borderId="6" xfId="0" applyNumberFormat="1" applyFill="1" applyBorder="1"/>
    <xf numFmtId="164" fontId="0" fillId="3" borderId="6" xfId="0" applyNumberFormat="1" applyFill="1" applyBorder="1" applyAlignment="1">
      <alignment vertical="center"/>
    </xf>
    <xf numFmtId="2" fontId="0" fillId="0" borderId="6" xfId="0" applyNumberFormat="1" applyBorder="1"/>
    <xf numFmtId="164" fontId="8" fillId="3" borderId="0" xfId="0" applyNumberFormat="1" applyFont="1" applyFill="1" applyAlignment="1">
      <alignment horizontal="right"/>
    </xf>
    <xf numFmtId="0" fontId="6" fillId="7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2" fillId="9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4EDF9"/>
      <color rgb="FFFFFFFF"/>
      <color rgb="FFFFCC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533401</xdr:colOff>
      <xdr:row>9</xdr:row>
      <xdr:rowOff>147637</xdr:rowOff>
    </xdr:from>
    <xdr:to>
      <xdr:col>9</xdr:col>
      <xdr:colOff>1309721</xdr:colOff>
      <xdr:row>29</xdr:row>
      <xdr:rowOff>23838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9F643-4762-3576-8648-BEC3A33A2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1" y="1776412"/>
          <a:ext cx="4562508" cy="3495701"/>
        </a:xfrm>
        <a:prstGeom prst="rect">
          <a:avLst/>
        </a:prstGeom>
      </xdr:spPr>
    </xdr:pic>
    <xdr:clientData/>
  </xdr:twoCellAnchor>
  <xdr:twoCellAnchor>
    <xdr:from>
      <xdr:col>7</xdr:col>
      <xdr:colOff>600075</xdr:colOff>
      <xdr:row>14</xdr:row>
      <xdr:rowOff>114300</xdr:rowOff>
    </xdr:from>
    <xdr:to>
      <xdr:col>8</xdr:col>
      <xdr:colOff>690563</xdr:colOff>
      <xdr:row>20</xdr:row>
      <xdr:rowOff>61913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D943A2-0D5C-2F1C-53F5-B7866B518AD1}"/>
            </a:ext>
          </a:extLst>
        </xdr:cNvPr>
        <xdr:cNvSpPr/>
      </xdr:nvSpPr>
      <xdr:spPr>
        <a:xfrm>
          <a:off x="5324475" y="2647950"/>
          <a:ext cx="928688" cy="1033463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942975</xdr:colOff>
      <xdr:row>24</xdr:row>
      <xdr:rowOff>9526</xdr:rowOff>
    </xdr:from>
    <xdr:to>
      <xdr:col>9</xdr:col>
      <xdr:colOff>1219200</xdr:colOff>
      <xdr:row>28</xdr:row>
      <xdr:rowOff>4763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69C1EA8-C26A-87F8-E0F9-28F37BC83B82}"/>
            </a:ext>
          </a:extLst>
        </xdr:cNvPr>
        <xdr:cNvCxnSpPr/>
      </xdr:nvCxnSpPr>
      <xdr:spPr>
        <a:xfrm flipH="1" flipV="1">
          <a:off x="7319963" y="4352926"/>
          <a:ext cx="276225" cy="7191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738187</xdr:colOff>
      <xdr:row>25</xdr:row>
      <xdr:rowOff>66676</xdr:rowOff>
    </xdr:from>
    <xdr:to>
      <xdr:col>9</xdr:col>
      <xdr:colOff>1104900</xdr:colOff>
      <xdr:row>27</xdr:row>
      <xdr:rowOff>166688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CAB4D6-61B8-30DC-47D6-4C7CCB8C699A}"/>
            </a:ext>
          </a:extLst>
        </xdr:cNvPr>
        <xdr:cNvSpPr txBox="1"/>
      </xdr:nvSpPr>
      <xdr:spPr>
        <a:xfrm>
          <a:off x="7115175" y="4591051"/>
          <a:ext cx="366713" cy="4619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600"/>
            <a:t>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olarshop.pt/pt/dmegc-dmegc-450w---dm450g12rt-painel-solar-unidade" TargetMode="External"/><Relationship Id="rId1" Type="http://schemas.openxmlformats.org/officeDocument/2006/relationships/hyperlink" Target="https://www.solarshop.pt/pt/hyundai-hyundai-455w-hit-h455le-fb-painel-solar-unidad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uture-weather-generator.adai.pt/" TargetMode="External"/><Relationship Id="rId2" Type="http://schemas.openxmlformats.org/officeDocument/2006/relationships/hyperlink" Target="https://future-weather-generator.adai.pt/" TargetMode="External"/><Relationship Id="rId1" Type="http://schemas.openxmlformats.org/officeDocument/2006/relationships/hyperlink" Target="https://climate.onebuilding.org/WMO_Region_6_Europe/PRT_Portugal/index.html" TargetMode="External"/><Relationship Id="rId4" Type="http://schemas.openxmlformats.org/officeDocument/2006/relationships/hyperlink" Target="https://future-weather-generator.adai.pt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D993-2455-4CAF-B4CC-8E9690ED879A}">
  <dimension ref="A1:A14"/>
  <sheetViews>
    <sheetView workbookViewId="0"/>
  </sheetViews>
  <sheetFormatPr defaultRowHeight="14.25" x14ac:dyDescent="0.45"/>
  <sheetData>
    <row r="1" spans="1:1" x14ac:dyDescent="0.45">
      <c r="A1" s="3" t="s">
        <v>34</v>
      </c>
    </row>
    <row r="2" spans="1:1" x14ac:dyDescent="0.45">
      <c r="A2" s="2" t="s">
        <v>33</v>
      </c>
    </row>
    <row r="3" spans="1:1" x14ac:dyDescent="0.45">
      <c r="A3" t="s">
        <v>35</v>
      </c>
    </row>
    <row r="5" spans="1:1" x14ac:dyDescent="0.45">
      <c r="A5" s="3" t="s">
        <v>36</v>
      </c>
    </row>
    <row r="6" spans="1:1" x14ac:dyDescent="0.45">
      <c r="A6" s="2" t="s">
        <v>33</v>
      </c>
    </row>
    <row r="7" spans="1:1" x14ac:dyDescent="0.45">
      <c r="A7" t="s">
        <v>37</v>
      </c>
    </row>
    <row r="10" spans="1:1" x14ac:dyDescent="0.45">
      <c r="A10" s="3" t="s">
        <v>39</v>
      </c>
    </row>
    <row r="11" spans="1:1" x14ac:dyDescent="0.45">
      <c r="A11" s="17" t="s">
        <v>40</v>
      </c>
    </row>
    <row r="12" spans="1:1" x14ac:dyDescent="0.45">
      <c r="A12" s="17" t="s">
        <v>41</v>
      </c>
    </row>
    <row r="14" spans="1:1" x14ac:dyDescent="0.45">
      <c r="A1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4D46-A334-4BF9-BD7B-D267FD252312}">
  <dimension ref="A1:C14"/>
  <sheetViews>
    <sheetView workbookViewId="0"/>
  </sheetViews>
  <sheetFormatPr defaultRowHeight="14.25" x14ac:dyDescent="0.45"/>
  <cols>
    <col min="1" max="1" width="15.3984375" customWidth="1"/>
    <col min="2" max="2" width="12.73046875" customWidth="1"/>
    <col min="3" max="3" width="10.46484375" bestFit="1" customWidth="1"/>
    <col min="5" max="5" width="12.53125" customWidth="1"/>
  </cols>
  <sheetData>
    <row r="1" spans="1:3" x14ac:dyDescent="0.45">
      <c r="A1" s="3" t="s">
        <v>38</v>
      </c>
    </row>
    <row r="2" spans="1:3" x14ac:dyDescent="0.45">
      <c r="B2" t="s">
        <v>0</v>
      </c>
      <c r="C2" t="s">
        <v>1</v>
      </c>
    </row>
    <row r="5" spans="1:3" x14ac:dyDescent="0.45">
      <c r="A5" t="s">
        <v>107</v>
      </c>
    </row>
    <row r="8" spans="1:3" x14ac:dyDescent="0.45">
      <c r="A8" s="3" t="s">
        <v>39</v>
      </c>
    </row>
    <row r="9" spans="1:3" x14ac:dyDescent="0.45">
      <c r="A9" s="17" t="s">
        <v>106</v>
      </c>
    </row>
    <row r="11" spans="1:3" x14ac:dyDescent="0.45">
      <c r="A11" s="17"/>
    </row>
    <row r="14" spans="1:3" x14ac:dyDescent="0.45">
      <c r="A14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4D78-BBD1-442C-9C86-037D4F84B0EC}">
  <dimension ref="A1:P12"/>
  <sheetViews>
    <sheetView workbookViewId="0"/>
  </sheetViews>
  <sheetFormatPr defaultRowHeight="14.25" x14ac:dyDescent="0.45"/>
  <cols>
    <col min="1" max="1" width="18.6640625" customWidth="1"/>
    <col min="2" max="2" width="15.9296875" customWidth="1"/>
    <col min="3" max="3" width="10.46484375" bestFit="1" customWidth="1"/>
  </cols>
  <sheetData>
    <row r="1" spans="1:16" x14ac:dyDescent="0.45">
      <c r="A1" s="3" t="s">
        <v>38</v>
      </c>
    </row>
    <row r="2" spans="1:16" x14ac:dyDescent="0.45">
      <c r="B2" t="s">
        <v>0</v>
      </c>
      <c r="C2" t="s">
        <v>1</v>
      </c>
    </row>
    <row r="5" spans="1:16" x14ac:dyDescent="0.45">
      <c r="A5" t="s">
        <v>107</v>
      </c>
    </row>
    <row r="8" spans="1:16" x14ac:dyDescent="0.45">
      <c r="A8" s="3" t="s">
        <v>39</v>
      </c>
    </row>
    <row r="9" spans="1:16" x14ac:dyDescent="0.45">
      <c r="A9" t="s">
        <v>108</v>
      </c>
      <c r="O9" s="4"/>
      <c r="P9" s="4"/>
    </row>
    <row r="10" spans="1:16" x14ac:dyDescent="0.45">
      <c r="A10" t="s">
        <v>109</v>
      </c>
    </row>
    <row r="12" spans="1:16" x14ac:dyDescent="0.45">
      <c r="A1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A3EC-46CB-4573-AD22-CD3FEAC4A8EF}">
  <dimension ref="A1:J13"/>
  <sheetViews>
    <sheetView tabSelected="1" workbookViewId="0"/>
  </sheetViews>
  <sheetFormatPr defaultRowHeight="14.25" x14ac:dyDescent="0.45"/>
  <cols>
    <col min="7" max="7" width="11.73046875" bestFit="1" customWidth="1"/>
    <col min="8" max="8" width="11.73046875" customWidth="1"/>
    <col min="9" max="9" width="11.3984375" bestFit="1" customWidth="1"/>
    <col min="10" max="10" width="70" bestFit="1" customWidth="1"/>
  </cols>
  <sheetData>
    <row r="1" spans="1:10" x14ac:dyDescent="0.45"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53</v>
      </c>
      <c r="H1" s="3" t="s">
        <v>54</v>
      </c>
      <c r="I1" s="3" t="s">
        <v>47</v>
      </c>
      <c r="J1" s="3" t="s">
        <v>48</v>
      </c>
    </row>
    <row r="2" spans="1:10" x14ac:dyDescent="0.45">
      <c r="A2" t="s">
        <v>49</v>
      </c>
      <c r="B2">
        <v>1.762</v>
      </c>
      <c r="C2">
        <v>1.1339999999999999</v>
      </c>
      <c r="D2" s="20">
        <f t="shared" ref="D2:D3" si="0">B2*C2</f>
        <v>1.9981079999999998</v>
      </c>
      <c r="E2">
        <v>455</v>
      </c>
      <c r="F2" s="4">
        <f t="shared" ref="F2:F3" si="1">E2/D2</f>
        <v>227.71541878617174</v>
      </c>
      <c r="G2" s="4">
        <f t="shared" ref="G2:G3" si="2">F2*12</f>
        <v>2732.5850254340608</v>
      </c>
      <c r="H2" s="4">
        <f>12/D2</f>
        <v>6.0056813745803534</v>
      </c>
      <c r="I2">
        <v>22.8</v>
      </c>
      <c r="J2" s="1" t="s">
        <v>51</v>
      </c>
    </row>
    <row r="3" spans="1:10" x14ac:dyDescent="0.45">
      <c r="A3" t="s">
        <v>50</v>
      </c>
      <c r="B3">
        <v>1.762</v>
      </c>
      <c r="C3">
        <v>1.1339999999999999</v>
      </c>
      <c r="D3" s="20">
        <f t="shared" si="0"/>
        <v>1.9981079999999998</v>
      </c>
      <c r="E3">
        <v>450</v>
      </c>
      <c r="F3" s="4">
        <f t="shared" si="1"/>
        <v>225.21305154676327</v>
      </c>
      <c r="G3" s="4">
        <f t="shared" si="2"/>
        <v>2702.5566185611592</v>
      </c>
      <c r="H3" s="4">
        <f>12/D3</f>
        <v>6.0056813745803534</v>
      </c>
      <c r="I3">
        <v>22.5</v>
      </c>
      <c r="J3" s="1" t="s">
        <v>52</v>
      </c>
    </row>
    <row r="4" spans="1:10" x14ac:dyDescent="0.45">
      <c r="F4" s="4"/>
      <c r="G4" s="4">
        <f>AVERAGE(G2:G3)</f>
        <v>2717.57082199761</v>
      </c>
      <c r="H4" s="4">
        <f>AVERAGE(H2:H3)</f>
        <v>6.0056813745803534</v>
      </c>
      <c r="I4" s="4">
        <f>AVERAGE(I2:I3)</f>
        <v>22.65</v>
      </c>
    </row>
    <row r="5" spans="1:10" x14ac:dyDescent="0.45">
      <c r="A5" t="s">
        <v>55</v>
      </c>
    </row>
    <row r="6" spans="1:10" x14ac:dyDescent="0.45">
      <c r="A6" t="s">
        <v>56</v>
      </c>
    </row>
    <row r="7" spans="1:10" x14ac:dyDescent="0.45">
      <c r="A7" t="s">
        <v>59</v>
      </c>
    </row>
    <row r="8" spans="1:10" x14ac:dyDescent="0.45">
      <c r="A8" s="2" t="s">
        <v>111</v>
      </c>
    </row>
    <row r="9" spans="1:10" x14ac:dyDescent="0.45">
      <c r="A9" s="2" t="s">
        <v>112</v>
      </c>
    </row>
    <row r="10" spans="1:10" x14ac:dyDescent="0.45">
      <c r="A10" t="s">
        <v>105</v>
      </c>
    </row>
    <row r="12" spans="1:10" x14ac:dyDescent="0.45">
      <c r="A12" s="17" t="s">
        <v>57</v>
      </c>
    </row>
    <row r="13" spans="1:10" x14ac:dyDescent="0.45">
      <c r="A13" t="s">
        <v>58</v>
      </c>
    </row>
  </sheetData>
  <hyperlinks>
    <hyperlink ref="J2" r:id="rId1" xr:uid="{1AE1B3F3-3319-489D-9680-6116FE28BEE1}"/>
    <hyperlink ref="J3" r:id="rId2" xr:uid="{857331AE-DFB1-46F3-8BC9-07CA850DF11F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6946-4EC8-45B8-A8A4-F05FF2A18A87}">
  <dimension ref="A1:O23"/>
  <sheetViews>
    <sheetView workbookViewId="0"/>
  </sheetViews>
  <sheetFormatPr defaultRowHeight="14.25" x14ac:dyDescent="0.45"/>
  <cols>
    <col min="14" max="14" width="11.19921875" customWidth="1"/>
    <col min="15" max="15" width="12.1328125" customWidth="1"/>
  </cols>
  <sheetData>
    <row r="1" spans="1:15" x14ac:dyDescent="0.45">
      <c r="A1" s="3" t="s">
        <v>89</v>
      </c>
    </row>
    <row r="2" spans="1:15" x14ac:dyDescent="0.45">
      <c r="A2" t="s">
        <v>60</v>
      </c>
      <c r="N2" s="3"/>
    </row>
    <row r="3" spans="1:15" x14ac:dyDescent="0.45">
      <c r="A3" s="1" t="s">
        <v>61</v>
      </c>
    </row>
    <row r="4" spans="1:15" x14ac:dyDescent="0.45">
      <c r="A4" t="s">
        <v>62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</row>
    <row r="5" spans="1:15" x14ac:dyDescent="0.45">
      <c r="A5" s="48">
        <v>9.3000000000000007</v>
      </c>
      <c r="B5">
        <v>10.199999999999999</v>
      </c>
      <c r="C5">
        <v>11.9</v>
      </c>
      <c r="D5">
        <v>14.4</v>
      </c>
      <c r="E5">
        <v>16</v>
      </c>
      <c r="F5">
        <v>18.399999999999999</v>
      </c>
      <c r="G5">
        <v>20.100000000000001</v>
      </c>
      <c r="H5">
        <v>20.9</v>
      </c>
      <c r="I5">
        <v>19.7</v>
      </c>
      <c r="J5">
        <v>17.2</v>
      </c>
      <c r="K5">
        <v>12.5</v>
      </c>
      <c r="L5">
        <v>11.1</v>
      </c>
      <c r="N5" s="4"/>
      <c r="O5" s="4"/>
    </row>
    <row r="7" spans="1:15" x14ac:dyDescent="0.45">
      <c r="A7" s="3" t="s">
        <v>83</v>
      </c>
    </row>
    <row r="8" spans="1:15" x14ac:dyDescent="0.45">
      <c r="A8" t="s">
        <v>87</v>
      </c>
    </row>
    <row r="9" spans="1:15" x14ac:dyDescent="0.45">
      <c r="A9" s="1" t="s">
        <v>88</v>
      </c>
    </row>
    <row r="10" spans="1:15" x14ac:dyDescent="0.45">
      <c r="A10" t="s">
        <v>62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</row>
    <row r="11" spans="1:15" x14ac:dyDescent="0.45">
      <c r="A11" s="48">
        <v>10.3</v>
      </c>
      <c r="B11">
        <v>11.2</v>
      </c>
      <c r="C11">
        <v>13</v>
      </c>
      <c r="D11">
        <v>15.7</v>
      </c>
      <c r="E11">
        <v>17.5</v>
      </c>
      <c r="F11">
        <v>20.2</v>
      </c>
      <c r="G11">
        <v>22.1</v>
      </c>
      <c r="H11">
        <v>22.8</v>
      </c>
      <c r="I11">
        <v>21.5</v>
      </c>
      <c r="J11">
        <v>18.899999999999999</v>
      </c>
      <c r="K11">
        <v>13.7</v>
      </c>
      <c r="L11">
        <v>12.1</v>
      </c>
      <c r="N11" s="4"/>
    </row>
    <row r="13" spans="1:15" x14ac:dyDescent="0.45">
      <c r="A13" s="3" t="s">
        <v>84</v>
      </c>
    </row>
    <row r="14" spans="1:15" x14ac:dyDescent="0.45">
      <c r="A14" t="s">
        <v>87</v>
      </c>
    </row>
    <row r="15" spans="1:15" x14ac:dyDescent="0.45">
      <c r="A15" s="1" t="s">
        <v>88</v>
      </c>
    </row>
    <row r="16" spans="1:15" x14ac:dyDescent="0.45">
      <c r="A16" t="s">
        <v>62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  <c r="J16" t="s">
        <v>98</v>
      </c>
      <c r="K16" t="s">
        <v>99</v>
      </c>
      <c r="L16" t="s">
        <v>100</v>
      </c>
    </row>
    <row r="17" spans="1:14" x14ac:dyDescent="0.45">
      <c r="A17" s="48">
        <v>10.5</v>
      </c>
      <c r="B17">
        <v>11.4</v>
      </c>
      <c r="C17">
        <v>13</v>
      </c>
      <c r="D17">
        <v>15.8</v>
      </c>
      <c r="E17">
        <v>17.899999999999999</v>
      </c>
      <c r="F17">
        <v>20.5</v>
      </c>
      <c r="G17">
        <v>22.4</v>
      </c>
      <c r="H17">
        <v>23</v>
      </c>
      <c r="I17">
        <v>21.7</v>
      </c>
      <c r="J17">
        <v>19.100000000000001</v>
      </c>
      <c r="K17">
        <v>13.9</v>
      </c>
      <c r="L17">
        <v>12.5</v>
      </c>
      <c r="N17" s="4"/>
    </row>
    <row r="19" spans="1:14" x14ac:dyDescent="0.45">
      <c r="A19" s="3" t="s">
        <v>85</v>
      </c>
    </row>
    <row r="20" spans="1:14" x14ac:dyDescent="0.45">
      <c r="A20" t="s">
        <v>87</v>
      </c>
    </row>
    <row r="21" spans="1:14" x14ac:dyDescent="0.45">
      <c r="A21" s="1" t="s">
        <v>88</v>
      </c>
    </row>
    <row r="22" spans="1:14" x14ac:dyDescent="0.45">
      <c r="A22" t="s">
        <v>62</v>
      </c>
      <c r="B22" t="s">
        <v>90</v>
      </c>
      <c r="C22" t="s">
        <v>91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97</v>
      </c>
      <c r="J22" t="s">
        <v>98</v>
      </c>
      <c r="K22" t="s">
        <v>99</v>
      </c>
      <c r="L22" t="s">
        <v>100</v>
      </c>
    </row>
    <row r="23" spans="1:14" x14ac:dyDescent="0.45">
      <c r="A23" s="48">
        <v>11.4</v>
      </c>
      <c r="B23">
        <v>12.3</v>
      </c>
      <c r="C23">
        <v>14</v>
      </c>
      <c r="D23">
        <v>17</v>
      </c>
      <c r="E23">
        <v>19.3</v>
      </c>
      <c r="F23">
        <v>22.2</v>
      </c>
      <c r="G23">
        <v>23.8</v>
      </c>
      <c r="H23">
        <v>24.4</v>
      </c>
      <c r="I23">
        <v>23.4</v>
      </c>
      <c r="J23">
        <v>20.5</v>
      </c>
      <c r="K23">
        <v>15.1</v>
      </c>
      <c r="L23">
        <v>13.4</v>
      </c>
      <c r="N23" s="4"/>
    </row>
  </sheetData>
  <hyperlinks>
    <hyperlink ref="A3" r:id="rId1" xr:uid="{72B23963-C848-4A67-AE3D-AB752105E532}"/>
    <hyperlink ref="A21" r:id="rId2" xr:uid="{8C8F6C51-B4EF-43B3-B809-D958C0911B4D}"/>
    <hyperlink ref="A15" r:id="rId3" xr:uid="{F461AAF0-16B2-4159-9A9D-1D377B306024}"/>
    <hyperlink ref="A9" r:id="rId4" xr:uid="{49BB2858-21BE-4FC8-853F-8468C0A564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FEDC-964B-405C-A9A9-486674E8AE08}">
  <dimension ref="A1:M143"/>
  <sheetViews>
    <sheetView zoomScaleNormal="100" workbookViewId="0">
      <selection activeCell="B1" sqref="B1"/>
    </sheetView>
  </sheetViews>
  <sheetFormatPr defaultRowHeight="14.25" x14ac:dyDescent="0.45"/>
  <cols>
    <col min="1" max="1" width="3.33203125" customWidth="1"/>
    <col min="2" max="2" width="50.265625" bestFit="1" customWidth="1"/>
    <col min="3" max="3" width="9.3984375" bestFit="1" customWidth="1"/>
    <col min="4" max="4" width="14.06640625" customWidth="1"/>
    <col min="5" max="5" width="18.1328125" customWidth="1"/>
    <col min="6" max="6" width="9.06640625" customWidth="1"/>
    <col min="7" max="7" width="10" bestFit="1" customWidth="1"/>
    <col min="8" max="8" width="17" bestFit="1" customWidth="1"/>
    <col min="9" max="9" width="19.46484375" bestFit="1" customWidth="1"/>
    <col min="10" max="10" width="14.53125" bestFit="1" customWidth="1"/>
    <col min="11" max="11" width="16.265625" bestFit="1" customWidth="1"/>
    <col min="12" max="12" width="17" bestFit="1" customWidth="1"/>
    <col min="13" max="13" width="16.9296875" bestFit="1" customWidth="1"/>
  </cols>
  <sheetData>
    <row r="1" spans="1:13" x14ac:dyDescent="0.45">
      <c r="B1" t="s">
        <v>4</v>
      </c>
      <c r="C1">
        <v>437.54</v>
      </c>
    </row>
    <row r="2" spans="1:13" x14ac:dyDescent="0.45">
      <c r="B2" t="s">
        <v>5</v>
      </c>
      <c r="C2">
        <v>237.53</v>
      </c>
    </row>
    <row r="4" spans="1:13" x14ac:dyDescent="0.45">
      <c r="A4" s="67" t="s">
        <v>86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3" ht="14.65" thickBot="1" x14ac:dyDescent="0.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x14ac:dyDescent="0.45">
      <c r="A6" s="55" t="s">
        <v>26</v>
      </c>
      <c r="B6" s="56"/>
      <c r="C6" s="56"/>
      <c r="D6" s="56"/>
      <c r="E6" s="57"/>
      <c r="G6" s="55" t="s">
        <v>26</v>
      </c>
      <c r="H6" s="56"/>
      <c r="I6" s="56"/>
      <c r="J6" s="56"/>
      <c r="K6" s="56"/>
      <c r="L6" s="56"/>
      <c r="M6" s="57"/>
    </row>
    <row r="7" spans="1:13" ht="14.65" thickBot="1" x14ac:dyDescent="0.5">
      <c r="A7" s="62" t="s">
        <v>6</v>
      </c>
      <c r="B7" s="60"/>
      <c r="C7" s="60"/>
      <c r="D7" s="60"/>
      <c r="E7" s="61"/>
      <c r="G7" s="62" t="s">
        <v>82</v>
      </c>
      <c r="H7" s="60"/>
      <c r="I7" s="60"/>
      <c r="J7" s="60"/>
      <c r="K7" s="60"/>
      <c r="L7" s="60"/>
      <c r="M7" s="61"/>
    </row>
    <row r="8" spans="1:13" ht="14.65" thickBot="1" x14ac:dyDescent="0.5">
      <c r="A8" s="72" t="s">
        <v>28</v>
      </c>
      <c r="B8" s="24" t="s">
        <v>7</v>
      </c>
      <c r="C8" s="54">
        <v>6336.6</v>
      </c>
      <c r="E8" s="9"/>
      <c r="G8" s="8"/>
      <c r="H8" s="3" t="s">
        <v>76</v>
      </c>
      <c r="I8" s="3" t="s">
        <v>75</v>
      </c>
      <c r="J8" s="3" t="s">
        <v>77</v>
      </c>
      <c r="K8" s="3" t="s">
        <v>78</v>
      </c>
      <c r="L8" s="3" t="s">
        <v>79</v>
      </c>
      <c r="M8" s="10" t="s">
        <v>80</v>
      </c>
    </row>
    <row r="9" spans="1:13" ht="14.65" thickBot="1" x14ac:dyDescent="0.5">
      <c r="A9" s="72"/>
      <c r="B9" s="24" t="s">
        <v>8</v>
      </c>
      <c r="C9" s="54">
        <v>866.71</v>
      </c>
      <c r="D9" s="3" t="s">
        <v>9</v>
      </c>
      <c r="E9" s="10" t="s">
        <v>10</v>
      </c>
      <c r="G9" s="8" t="s">
        <v>63</v>
      </c>
      <c r="H9">
        <v>79.87</v>
      </c>
      <c r="I9">
        <v>587.12</v>
      </c>
      <c r="J9">
        <v>10.89</v>
      </c>
      <c r="K9">
        <v>0</v>
      </c>
      <c r="L9">
        <v>847.21</v>
      </c>
      <c r="M9" s="9">
        <v>0</v>
      </c>
    </row>
    <row r="10" spans="1:13" ht="14.65" customHeight="1" thickBot="1" x14ac:dyDescent="0.5">
      <c r="A10" s="72" t="s">
        <v>3</v>
      </c>
      <c r="B10" s="25" t="s">
        <v>29</v>
      </c>
      <c r="C10" s="27">
        <v>2896.84</v>
      </c>
      <c r="D10" s="27"/>
      <c r="E10" s="11"/>
      <c r="G10" s="8" t="s">
        <v>64</v>
      </c>
      <c r="H10">
        <v>73.11</v>
      </c>
      <c r="I10">
        <v>534.64</v>
      </c>
      <c r="J10">
        <v>9.2100000000000009</v>
      </c>
      <c r="K10">
        <v>0</v>
      </c>
      <c r="L10">
        <v>636.08000000000004</v>
      </c>
      <c r="M10" s="9">
        <v>0</v>
      </c>
    </row>
    <row r="11" spans="1:13" ht="14.65" thickBot="1" x14ac:dyDescent="0.5">
      <c r="A11" s="72"/>
      <c r="B11" s="25" t="s">
        <v>11</v>
      </c>
      <c r="C11" s="6">
        <v>3061.52</v>
      </c>
      <c r="D11" s="27">
        <f>C11/$C$1</f>
        <v>6.9971202632902134</v>
      </c>
      <c r="E11" s="11">
        <f>C11/$C$2</f>
        <v>12.888982444322822</v>
      </c>
      <c r="G11" s="8" t="s">
        <v>65</v>
      </c>
      <c r="H11">
        <v>85.5</v>
      </c>
      <c r="I11">
        <v>617.91999999999996</v>
      </c>
      <c r="J11">
        <v>7.97</v>
      </c>
      <c r="K11">
        <v>0</v>
      </c>
      <c r="L11">
        <v>398.39</v>
      </c>
      <c r="M11" s="9">
        <v>0</v>
      </c>
    </row>
    <row r="12" spans="1:13" x14ac:dyDescent="0.45">
      <c r="A12" s="72"/>
      <c r="B12" s="25" t="s">
        <v>103</v>
      </c>
      <c r="C12" s="26">
        <v>1894.65</v>
      </c>
      <c r="D12" s="27"/>
      <c r="E12" s="11"/>
      <c r="G12" s="8" t="s">
        <v>66</v>
      </c>
      <c r="H12">
        <v>73.11</v>
      </c>
      <c r="I12">
        <v>534.64</v>
      </c>
      <c r="J12">
        <v>5.27</v>
      </c>
      <c r="K12">
        <v>0</v>
      </c>
      <c r="L12">
        <v>204.47</v>
      </c>
      <c r="M12" s="9">
        <v>5.78</v>
      </c>
    </row>
    <row r="13" spans="1:13" x14ac:dyDescent="0.45">
      <c r="A13" s="72"/>
      <c r="B13" s="25"/>
      <c r="C13" s="26"/>
      <c r="D13" s="27"/>
      <c r="E13" s="11"/>
      <c r="G13" s="8" t="s">
        <v>67</v>
      </c>
      <c r="H13">
        <v>83.76</v>
      </c>
      <c r="I13">
        <v>613.72</v>
      </c>
      <c r="J13">
        <v>1.98</v>
      </c>
      <c r="K13">
        <v>0</v>
      </c>
      <c r="L13">
        <v>41.51</v>
      </c>
      <c r="M13" s="9">
        <v>19.829999999999998</v>
      </c>
    </row>
    <row r="14" spans="1:13" x14ac:dyDescent="0.45">
      <c r="A14" s="72"/>
      <c r="B14" s="25"/>
      <c r="C14" s="26"/>
      <c r="D14" s="27"/>
      <c r="E14" s="11"/>
      <c r="G14" s="8" t="s">
        <v>68</v>
      </c>
      <c r="H14">
        <v>79.87</v>
      </c>
      <c r="I14">
        <v>587.12</v>
      </c>
      <c r="J14">
        <v>0.63</v>
      </c>
      <c r="K14">
        <v>0</v>
      </c>
      <c r="L14">
        <v>3.07</v>
      </c>
      <c r="M14" s="9">
        <v>48.36</v>
      </c>
    </row>
    <row r="15" spans="1:13" ht="14.65" thickBot="1" x14ac:dyDescent="0.5">
      <c r="A15" s="72"/>
      <c r="B15" s="28" t="s">
        <v>30</v>
      </c>
      <c r="C15" s="30">
        <v>957.27</v>
      </c>
      <c r="D15" s="30"/>
      <c r="E15" s="12"/>
      <c r="G15" s="8" t="s">
        <v>69</v>
      </c>
      <c r="H15">
        <v>76.489999999999995</v>
      </c>
      <c r="I15">
        <v>560.88</v>
      </c>
      <c r="J15">
        <v>1.49</v>
      </c>
      <c r="K15">
        <v>0</v>
      </c>
      <c r="L15">
        <v>0.1</v>
      </c>
      <c r="M15" s="9">
        <v>139.19999999999999</v>
      </c>
    </row>
    <row r="16" spans="1:13" ht="14.65" thickBot="1" x14ac:dyDescent="0.5">
      <c r="A16" s="72"/>
      <c r="B16" s="28" t="s">
        <v>12</v>
      </c>
      <c r="C16" s="7">
        <v>367.58</v>
      </c>
      <c r="D16" s="30">
        <f>C16/$C$1</f>
        <v>0.8401060474470905</v>
      </c>
      <c r="E16" s="12">
        <f>C16/$C$2</f>
        <v>1.5475097882372753</v>
      </c>
      <c r="G16" s="8" t="s">
        <v>70</v>
      </c>
      <c r="H16">
        <v>0</v>
      </c>
      <c r="I16">
        <v>0</v>
      </c>
      <c r="J16">
        <v>0</v>
      </c>
      <c r="K16">
        <v>0</v>
      </c>
      <c r="L16">
        <v>0</v>
      </c>
      <c r="M16" s="9">
        <v>0</v>
      </c>
    </row>
    <row r="17" spans="1:13" x14ac:dyDescent="0.45">
      <c r="A17" s="72"/>
      <c r="B17" s="28" t="s">
        <v>104</v>
      </c>
      <c r="C17" s="29">
        <v>18.78</v>
      </c>
      <c r="D17" s="29"/>
      <c r="E17" s="12"/>
      <c r="G17" s="8" t="s">
        <v>71</v>
      </c>
      <c r="H17">
        <v>78.23</v>
      </c>
      <c r="I17">
        <v>565.08000000000004</v>
      </c>
      <c r="J17">
        <v>1.43</v>
      </c>
      <c r="K17">
        <v>0</v>
      </c>
      <c r="L17">
        <v>0.38</v>
      </c>
      <c r="M17" s="9">
        <v>132.58000000000001</v>
      </c>
    </row>
    <row r="18" spans="1:13" x14ac:dyDescent="0.45">
      <c r="A18" s="72"/>
      <c r="B18" s="28"/>
      <c r="C18" s="29"/>
      <c r="D18" s="29"/>
      <c r="E18" s="12"/>
      <c r="G18" s="8" t="s">
        <v>72</v>
      </c>
      <c r="H18">
        <v>79.87</v>
      </c>
      <c r="I18">
        <v>587.12</v>
      </c>
      <c r="J18">
        <v>1.03</v>
      </c>
      <c r="K18">
        <v>0</v>
      </c>
      <c r="L18">
        <v>15.27</v>
      </c>
      <c r="M18" s="9">
        <v>21.13</v>
      </c>
    </row>
    <row r="19" spans="1:13" ht="14.65" thickBot="1" x14ac:dyDescent="0.5">
      <c r="A19" s="72"/>
      <c r="B19" s="28"/>
      <c r="C19" s="29"/>
      <c r="D19" s="29"/>
      <c r="E19" s="12"/>
      <c r="G19" s="8" t="s">
        <v>73</v>
      </c>
      <c r="H19">
        <v>80.39</v>
      </c>
      <c r="I19">
        <v>587.48</v>
      </c>
      <c r="J19">
        <v>7.05</v>
      </c>
      <c r="K19">
        <v>0</v>
      </c>
      <c r="L19">
        <v>354.16</v>
      </c>
      <c r="M19" s="9">
        <v>0.69</v>
      </c>
    </row>
    <row r="20" spans="1:13" ht="14.65" thickBot="1" x14ac:dyDescent="0.5">
      <c r="A20" s="72"/>
      <c r="B20" s="31" t="s">
        <v>23</v>
      </c>
      <c r="C20" s="18">
        <v>56.24</v>
      </c>
      <c r="D20" s="32"/>
      <c r="E20" s="49"/>
      <c r="G20" s="8" t="s">
        <v>74</v>
      </c>
      <c r="H20">
        <v>76.489999999999995</v>
      </c>
      <c r="I20">
        <v>560.88</v>
      </c>
      <c r="J20">
        <v>9.3000000000000007</v>
      </c>
      <c r="K20">
        <v>0</v>
      </c>
      <c r="L20">
        <v>560.86</v>
      </c>
      <c r="M20" s="9">
        <v>0</v>
      </c>
    </row>
    <row r="21" spans="1:13" x14ac:dyDescent="0.45">
      <c r="A21" s="72" t="s">
        <v>2</v>
      </c>
      <c r="B21" s="33" t="s">
        <v>32</v>
      </c>
      <c r="C21" s="34"/>
      <c r="D21" s="35"/>
      <c r="E21" s="13"/>
      <c r="G21" s="8"/>
      <c r="M21" s="9"/>
    </row>
    <row r="22" spans="1:13" ht="14.65" customHeight="1" thickBot="1" x14ac:dyDescent="0.5">
      <c r="A22" s="72"/>
      <c r="B22" s="14" t="s">
        <v>31</v>
      </c>
      <c r="C22" s="36"/>
      <c r="D22" s="36"/>
      <c r="E22" s="50"/>
      <c r="G22" s="15" t="s">
        <v>81</v>
      </c>
      <c r="H22" s="16">
        <v>866.71</v>
      </c>
      <c r="I22" s="16">
        <v>6336.6</v>
      </c>
      <c r="J22" s="16">
        <v>56.24</v>
      </c>
      <c r="K22" s="16">
        <v>0</v>
      </c>
      <c r="L22" s="16">
        <v>3061.52</v>
      </c>
      <c r="M22" s="21">
        <v>367.58</v>
      </c>
    </row>
    <row r="23" spans="1:13" x14ac:dyDescent="0.45">
      <c r="A23" s="72"/>
      <c r="B23" s="37" t="s">
        <v>27</v>
      </c>
      <c r="C23" s="53"/>
      <c r="D23" s="38"/>
      <c r="E23" s="51"/>
    </row>
    <row r="24" spans="1:13" x14ac:dyDescent="0.45">
      <c r="A24" s="72"/>
      <c r="B24" s="14" t="s">
        <v>13</v>
      </c>
      <c r="C24" s="36"/>
      <c r="D24" s="36"/>
      <c r="E24" s="51"/>
    </row>
    <row r="25" spans="1:13" x14ac:dyDescent="0.45">
      <c r="A25" s="8"/>
      <c r="B25" s="39" t="s">
        <v>24</v>
      </c>
      <c r="C25" s="40">
        <f>C8+C9+C11+C16+C20+C21</f>
        <v>10688.65</v>
      </c>
      <c r="D25" s="41"/>
      <c r="E25" s="22"/>
    </row>
    <row r="26" spans="1:13" x14ac:dyDescent="0.45">
      <c r="A26" s="8"/>
      <c r="E26" s="9"/>
    </row>
    <row r="27" spans="1:13" ht="15.75" x14ac:dyDescent="0.5">
      <c r="A27" s="72" t="s">
        <v>25</v>
      </c>
      <c r="B27" s="43" t="s">
        <v>14</v>
      </c>
      <c r="C27" s="44">
        <v>3748.942</v>
      </c>
      <c r="E27" s="9"/>
    </row>
    <row r="28" spans="1:13" ht="15.75" x14ac:dyDescent="0.5">
      <c r="A28" s="72"/>
      <c r="B28" s="43" t="s">
        <v>110</v>
      </c>
      <c r="C28" s="45">
        <v>-35.369999999999997</v>
      </c>
      <c r="E28" s="9"/>
    </row>
    <row r="29" spans="1:13" ht="15.75" x14ac:dyDescent="0.5">
      <c r="A29" s="72"/>
      <c r="B29" s="43" t="s">
        <v>15</v>
      </c>
      <c r="C29" s="45">
        <v>-111.41</v>
      </c>
      <c r="E29" s="52"/>
    </row>
    <row r="30" spans="1:13" ht="15.75" x14ac:dyDescent="0.45">
      <c r="A30" s="72"/>
      <c r="B30" s="43" t="s">
        <v>16</v>
      </c>
      <c r="C30" s="46">
        <f>C27+C28+C29</f>
        <v>3602.1620000000003</v>
      </c>
      <c r="E30" s="9"/>
    </row>
    <row r="31" spans="1:13" ht="15.75" x14ac:dyDescent="0.45">
      <c r="A31" s="72"/>
      <c r="B31" s="43" t="s">
        <v>17</v>
      </c>
      <c r="C31" s="47">
        <v>-1137.9929999999999</v>
      </c>
      <c r="E31" s="9"/>
    </row>
    <row r="32" spans="1:13" ht="15.75" x14ac:dyDescent="0.5">
      <c r="A32" s="72"/>
      <c r="B32" s="43" t="s">
        <v>18</v>
      </c>
      <c r="C32" s="44">
        <f>C30+C31</f>
        <v>2464.1690000000003</v>
      </c>
      <c r="E32" s="9"/>
    </row>
    <row r="33" spans="1:13" ht="15.75" x14ac:dyDescent="0.5">
      <c r="A33" s="72"/>
      <c r="B33" s="43" t="s">
        <v>19</v>
      </c>
      <c r="C33" s="45">
        <v>8224.4719999999998</v>
      </c>
      <c r="E33" s="9"/>
    </row>
    <row r="34" spans="1:13" ht="15.75" customHeight="1" x14ac:dyDescent="0.45">
      <c r="A34" s="72"/>
      <c r="B34" s="43" t="s">
        <v>20</v>
      </c>
      <c r="C34" s="46">
        <f>C32+C33</f>
        <v>10688.641</v>
      </c>
      <c r="D34" s="63"/>
      <c r="E34" s="64"/>
    </row>
    <row r="35" spans="1:13" x14ac:dyDescent="0.45">
      <c r="A35" s="8"/>
      <c r="D35" s="68"/>
      <c r="E35" s="69"/>
      <c r="F35" s="5"/>
    </row>
    <row r="36" spans="1:13" x14ac:dyDescent="0.45">
      <c r="A36" s="8"/>
      <c r="D36" s="68"/>
      <c r="E36" s="69"/>
      <c r="F36" s="5"/>
    </row>
    <row r="37" spans="1:13" ht="14.65" thickBot="1" x14ac:dyDescent="0.5">
      <c r="A37" s="15"/>
      <c r="B37" s="16"/>
      <c r="C37" s="16"/>
      <c r="D37" s="70"/>
      <c r="E37" s="71"/>
      <c r="F37" s="5"/>
    </row>
    <row r="38" spans="1:13" x14ac:dyDescent="0.45">
      <c r="D38" s="23"/>
      <c r="E38" s="23"/>
    </row>
    <row r="39" spans="1:13" x14ac:dyDescent="0.45">
      <c r="D39" s="23"/>
      <c r="E39" s="23"/>
    </row>
    <row r="40" spans="1:13" x14ac:dyDescent="0.45">
      <c r="A40" s="67" t="s">
        <v>83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spans="1:13" ht="14.65" thickBot="1" x14ac:dyDescent="0.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</row>
    <row r="42" spans="1:13" x14ac:dyDescent="0.45">
      <c r="A42" s="55" t="s">
        <v>26</v>
      </c>
      <c r="B42" s="56"/>
      <c r="C42" s="56"/>
      <c r="D42" s="56"/>
      <c r="E42" s="57"/>
      <c r="G42" s="55" t="s">
        <v>26</v>
      </c>
      <c r="H42" s="56"/>
      <c r="I42" s="56"/>
      <c r="J42" s="56"/>
      <c r="K42" s="56"/>
      <c r="L42" s="56"/>
      <c r="M42" s="57"/>
    </row>
    <row r="43" spans="1:13" ht="14.65" thickBot="1" x14ac:dyDescent="0.5">
      <c r="A43" s="62" t="s">
        <v>6</v>
      </c>
      <c r="B43" s="60"/>
      <c r="C43" s="60"/>
      <c r="D43" s="60"/>
      <c r="E43" s="61"/>
      <c r="G43" s="62" t="s">
        <v>82</v>
      </c>
      <c r="H43" s="60"/>
      <c r="I43" s="60"/>
      <c r="J43" s="60"/>
      <c r="K43" s="60"/>
      <c r="L43" s="60"/>
      <c r="M43" s="61"/>
    </row>
    <row r="44" spans="1:13" ht="14.65" thickBot="1" x14ac:dyDescent="0.5">
      <c r="A44" s="72" t="s">
        <v>28</v>
      </c>
      <c r="B44" s="24" t="s">
        <v>7</v>
      </c>
      <c r="C44" s="54">
        <v>6336.6</v>
      </c>
      <c r="E44" s="9"/>
      <c r="G44" s="8"/>
      <c r="H44" s="3" t="s">
        <v>76</v>
      </c>
      <c r="I44" s="3" t="s">
        <v>75</v>
      </c>
      <c r="J44" s="3" t="s">
        <v>77</v>
      </c>
      <c r="K44" s="3" t="s">
        <v>78</v>
      </c>
      <c r="L44" s="3" t="s">
        <v>79</v>
      </c>
      <c r="M44" s="10" t="s">
        <v>80</v>
      </c>
    </row>
    <row r="45" spans="1:13" ht="14.65" thickBot="1" x14ac:dyDescent="0.5">
      <c r="A45" s="72"/>
      <c r="B45" s="24" t="s">
        <v>8</v>
      </c>
      <c r="C45" s="54">
        <v>866.71</v>
      </c>
      <c r="D45" s="3" t="s">
        <v>9</v>
      </c>
      <c r="E45" s="10" t="s">
        <v>10</v>
      </c>
      <c r="G45" s="8" t="s">
        <v>63</v>
      </c>
      <c r="H45">
        <v>79.87</v>
      </c>
      <c r="I45">
        <v>587.12</v>
      </c>
      <c r="J45">
        <v>9.92</v>
      </c>
      <c r="K45">
        <v>0</v>
      </c>
      <c r="L45">
        <v>628.51</v>
      </c>
      <c r="M45" s="9">
        <v>0</v>
      </c>
    </row>
    <row r="46" spans="1:13" ht="14.65" thickBot="1" x14ac:dyDescent="0.5">
      <c r="A46" s="72" t="s">
        <v>3</v>
      </c>
      <c r="B46" s="25" t="s">
        <v>29</v>
      </c>
      <c r="C46" s="27">
        <v>1890.76</v>
      </c>
      <c r="D46" s="27"/>
      <c r="E46" s="11"/>
      <c r="G46" s="8" t="s">
        <v>64</v>
      </c>
      <c r="H46">
        <v>73.11</v>
      </c>
      <c r="I46">
        <v>534.64</v>
      </c>
      <c r="J46">
        <v>8.1999999999999993</v>
      </c>
      <c r="K46">
        <v>0</v>
      </c>
      <c r="L46">
        <v>463.11</v>
      </c>
      <c r="M46" s="9">
        <v>0</v>
      </c>
    </row>
    <row r="47" spans="1:13" ht="14.65" thickBot="1" x14ac:dyDescent="0.5">
      <c r="A47" s="72"/>
      <c r="B47" s="25" t="s">
        <v>11</v>
      </c>
      <c r="C47" s="6">
        <v>2022.96</v>
      </c>
      <c r="D47" s="27">
        <f>C47/$C$1</f>
        <v>4.6234858527220366</v>
      </c>
      <c r="E47" s="11">
        <f>C47/$C$2</f>
        <v>8.5166505283543135</v>
      </c>
      <c r="G47" s="8" t="s">
        <v>65</v>
      </c>
      <c r="H47">
        <v>85.5</v>
      </c>
      <c r="I47">
        <v>617.91999999999996</v>
      </c>
      <c r="J47">
        <v>6.07</v>
      </c>
      <c r="K47">
        <v>0</v>
      </c>
      <c r="L47">
        <v>233.14</v>
      </c>
      <c r="M47" s="9">
        <v>1.01</v>
      </c>
    </row>
    <row r="48" spans="1:13" x14ac:dyDescent="0.45">
      <c r="A48" s="72"/>
      <c r="B48" s="25" t="s">
        <v>103</v>
      </c>
      <c r="C48" s="26">
        <v>1201.6600000000001</v>
      </c>
      <c r="D48" s="27"/>
      <c r="E48" s="11"/>
      <c r="G48" s="8" t="s">
        <v>66</v>
      </c>
      <c r="H48">
        <v>73.11</v>
      </c>
      <c r="I48">
        <v>534.64</v>
      </c>
      <c r="J48">
        <v>3.42</v>
      </c>
      <c r="K48">
        <v>0</v>
      </c>
      <c r="L48">
        <v>97.08</v>
      </c>
      <c r="M48" s="9">
        <v>19.920000000000002</v>
      </c>
    </row>
    <row r="49" spans="1:13" x14ac:dyDescent="0.45">
      <c r="A49" s="72"/>
      <c r="B49" s="25"/>
      <c r="C49" s="26"/>
      <c r="D49" s="27"/>
      <c r="E49" s="11"/>
      <c r="G49" s="8" t="s">
        <v>67</v>
      </c>
      <c r="H49">
        <v>83.76</v>
      </c>
      <c r="I49">
        <v>613.72</v>
      </c>
      <c r="J49">
        <v>1.18</v>
      </c>
      <c r="K49">
        <v>0</v>
      </c>
      <c r="L49">
        <v>8.92</v>
      </c>
      <c r="M49" s="9">
        <v>60.88</v>
      </c>
    </row>
    <row r="50" spans="1:13" x14ac:dyDescent="0.45">
      <c r="A50" s="72"/>
      <c r="B50" s="25"/>
      <c r="C50" s="26"/>
      <c r="D50" s="27"/>
      <c r="E50" s="11"/>
      <c r="G50" s="8" t="s">
        <v>68</v>
      </c>
      <c r="H50">
        <v>79.87</v>
      </c>
      <c r="I50">
        <v>587.12</v>
      </c>
      <c r="J50">
        <v>1.41</v>
      </c>
      <c r="K50">
        <v>0</v>
      </c>
      <c r="L50">
        <v>0.24</v>
      </c>
      <c r="M50" s="9">
        <v>132.72</v>
      </c>
    </row>
    <row r="51" spans="1:13" ht="14.65" thickBot="1" x14ac:dyDescent="0.5">
      <c r="A51" s="72"/>
      <c r="B51" s="28" t="s">
        <v>30</v>
      </c>
      <c r="C51" s="30">
        <v>2059.9</v>
      </c>
      <c r="D51" s="30"/>
      <c r="E51" s="12"/>
      <c r="G51" s="8" t="s">
        <v>69</v>
      </c>
      <c r="H51">
        <v>76.489999999999995</v>
      </c>
      <c r="I51">
        <v>560.88</v>
      </c>
      <c r="J51">
        <v>2.7</v>
      </c>
      <c r="K51">
        <v>0</v>
      </c>
      <c r="L51">
        <v>0</v>
      </c>
      <c r="M51" s="9">
        <v>252.86</v>
      </c>
    </row>
    <row r="52" spans="1:13" ht="14.65" thickBot="1" x14ac:dyDescent="0.5">
      <c r="A52" s="72"/>
      <c r="B52" s="28" t="s">
        <v>12</v>
      </c>
      <c r="C52" s="7">
        <v>779.99</v>
      </c>
      <c r="D52" s="30">
        <f>C52/$C$1</f>
        <v>1.7826712986241258</v>
      </c>
      <c r="E52" s="12">
        <f>C52/$C$2</f>
        <v>3.2837536311202795</v>
      </c>
      <c r="G52" s="8" t="s">
        <v>70</v>
      </c>
      <c r="H52">
        <v>0</v>
      </c>
      <c r="I52">
        <v>0</v>
      </c>
      <c r="J52">
        <v>0</v>
      </c>
      <c r="K52">
        <v>0</v>
      </c>
      <c r="L52">
        <v>0</v>
      </c>
      <c r="M52" s="9">
        <v>0</v>
      </c>
    </row>
    <row r="53" spans="1:13" x14ac:dyDescent="0.45">
      <c r="A53" s="72"/>
      <c r="B53" s="28" t="s">
        <v>104</v>
      </c>
      <c r="C53" s="29">
        <v>85.67</v>
      </c>
      <c r="D53" s="29"/>
      <c r="E53" s="12"/>
      <c r="G53" s="8" t="s">
        <v>71</v>
      </c>
      <c r="H53">
        <v>78.23</v>
      </c>
      <c r="I53">
        <v>565.08000000000004</v>
      </c>
      <c r="J53">
        <v>2.56</v>
      </c>
      <c r="K53">
        <v>0</v>
      </c>
      <c r="L53">
        <v>0.01</v>
      </c>
      <c r="M53" s="9">
        <v>238.58</v>
      </c>
    </row>
    <row r="54" spans="1:13" x14ac:dyDescent="0.45">
      <c r="A54" s="72"/>
      <c r="B54" s="28"/>
      <c r="C54" s="29"/>
      <c r="D54" s="29"/>
      <c r="E54" s="12"/>
      <c r="G54" s="8" t="s">
        <v>72</v>
      </c>
      <c r="H54">
        <v>79.87</v>
      </c>
      <c r="I54">
        <v>587.12</v>
      </c>
      <c r="J54">
        <v>0.81</v>
      </c>
      <c r="K54">
        <v>0</v>
      </c>
      <c r="L54">
        <v>1.62</v>
      </c>
      <c r="M54" s="9">
        <v>69.989999999999995</v>
      </c>
    </row>
    <row r="55" spans="1:13" ht="14.65" thickBot="1" x14ac:dyDescent="0.5">
      <c r="A55" s="72"/>
      <c r="B55" s="28"/>
      <c r="C55" s="29"/>
      <c r="D55" s="29"/>
      <c r="E55" s="12"/>
      <c r="G55" s="8" t="s">
        <v>73</v>
      </c>
      <c r="H55">
        <v>80.39</v>
      </c>
      <c r="I55">
        <v>587.48</v>
      </c>
      <c r="J55">
        <v>5.29</v>
      </c>
      <c r="K55">
        <v>0</v>
      </c>
      <c r="L55">
        <v>205.48</v>
      </c>
      <c r="M55" s="9">
        <v>4.03</v>
      </c>
    </row>
    <row r="56" spans="1:13" ht="14.65" thickBot="1" x14ac:dyDescent="0.5">
      <c r="A56" s="72"/>
      <c r="B56" s="31" t="s">
        <v>23</v>
      </c>
      <c r="C56" s="18">
        <v>49.78</v>
      </c>
      <c r="D56" s="32"/>
      <c r="E56" s="49"/>
      <c r="G56" s="8" t="s">
        <v>74</v>
      </c>
      <c r="H56">
        <v>76.489999999999995</v>
      </c>
      <c r="I56">
        <v>560.88</v>
      </c>
      <c r="J56">
        <v>8.2100000000000009</v>
      </c>
      <c r="K56">
        <v>0</v>
      </c>
      <c r="L56">
        <v>384.85</v>
      </c>
      <c r="M56" s="9">
        <v>0</v>
      </c>
    </row>
    <row r="57" spans="1:13" x14ac:dyDescent="0.45">
      <c r="A57" s="72" t="s">
        <v>2</v>
      </c>
      <c r="B57" s="33" t="s">
        <v>32</v>
      </c>
      <c r="C57" s="34"/>
      <c r="D57" s="35"/>
      <c r="E57" s="13"/>
      <c r="G57" s="8"/>
      <c r="M57" s="9"/>
    </row>
    <row r="58" spans="1:13" ht="14.65" thickBot="1" x14ac:dyDescent="0.5">
      <c r="A58" s="72"/>
      <c r="B58" s="14" t="s">
        <v>31</v>
      </c>
      <c r="C58" s="36"/>
      <c r="D58" s="36"/>
      <c r="E58" s="50"/>
      <c r="G58" s="15" t="s">
        <v>81</v>
      </c>
      <c r="H58" s="16">
        <v>866.71</v>
      </c>
      <c r="I58" s="16">
        <v>6336.6</v>
      </c>
      <c r="J58" s="16">
        <v>49.78</v>
      </c>
      <c r="K58" s="16">
        <v>0</v>
      </c>
      <c r="L58" s="16">
        <v>2022.96</v>
      </c>
      <c r="M58" s="21">
        <v>779.99</v>
      </c>
    </row>
    <row r="59" spans="1:13" x14ac:dyDescent="0.45">
      <c r="A59" s="72"/>
      <c r="B59" s="37" t="s">
        <v>27</v>
      </c>
      <c r="C59" s="53"/>
      <c r="D59" s="38"/>
      <c r="E59" s="51"/>
    </row>
    <row r="60" spans="1:13" x14ac:dyDescent="0.45">
      <c r="A60" s="72"/>
      <c r="B60" s="14" t="s">
        <v>13</v>
      </c>
      <c r="C60" s="36"/>
      <c r="D60" s="36"/>
      <c r="E60" s="51"/>
    </row>
    <row r="61" spans="1:13" x14ac:dyDescent="0.45">
      <c r="A61" s="8"/>
      <c r="B61" s="39" t="s">
        <v>24</v>
      </c>
      <c r="C61" s="40">
        <f>C44+C45+C47+C52+C56+C57</f>
        <v>10056.040000000001</v>
      </c>
      <c r="D61" s="41"/>
      <c r="E61" s="22"/>
    </row>
    <row r="62" spans="1:13" x14ac:dyDescent="0.45">
      <c r="A62" s="8"/>
      <c r="E62" s="9"/>
    </row>
    <row r="63" spans="1:13" ht="15.75" x14ac:dyDescent="0.5">
      <c r="A63" s="72" t="s">
        <v>25</v>
      </c>
      <c r="B63" s="43" t="s">
        <v>14</v>
      </c>
      <c r="C63" s="44">
        <v>3762.5709999999999</v>
      </c>
      <c r="E63" s="9"/>
    </row>
    <row r="64" spans="1:13" ht="15.75" x14ac:dyDescent="0.5">
      <c r="A64" s="72"/>
      <c r="B64" s="43" t="s">
        <v>110</v>
      </c>
      <c r="C64" s="45">
        <v>-36.520000000000003</v>
      </c>
      <c r="E64" s="9"/>
    </row>
    <row r="65" spans="1:13" ht="15.75" x14ac:dyDescent="0.5">
      <c r="A65" s="72"/>
      <c r="B65" s="43" t="s">
        <v>15</v>
      </c>
      <c r="C65" s="45">
        <v>-111.78</v>
      </c>
      <c r="E65" s="52"/>
    </row>
    <row r="66" spans="1:13" ht="15.75" x14ac:dyDescent="0.45">
      <c r="A66" s="72"/>
      <c r="B66" s="43" t="s">
        <v>16</v>
      </c>
      <c r="C66" s="46">
        <f>C63+C64+C65</f>
        <v>3614.2709999999997</v>
      </c>
      <c r="E66" s="9"/>
    </row>
    <row r="67" spans="1:13" ht="15.75" x14ac:dyDescent="0.45">
      <c r="A67" s="72"/>
      <c r="B67" s="43" t="s">
        <v>17</v>
      </c>
      <c r="C67" s="47">
        <v>-1152.028</v>
      </c>
      <c r="E67" s="9"/>
    </row>
    <row r="68" spans="1:13" ht="15.75" x14ac:dyDescent="0.5">
      <c r="A68" s="72"/>
      <c r="B68" s="43" t="s">
        <v>18</v>
      </c>
      <c r="C68" s="44">
        <f>C66+C67</f>
        <v>2462.2429999999995</v>
      </c>
      <c r="E68" s="9"/>
    </row>
    <row r="69" spans="1:13" ht="15.75" x14ac:dyDescent="0.5">
      <c r="A69" s="72"/>
      <c r="B69" s="43" t="s">
        <v>19</v>
      </c>
      <c r="C69" s="45">
        <v>7593.7960000000003</v>
      </c>
      <c r="E69" s="9"/>
    </row>
    <row r="70" spans="1:13" ht="15.75" customHeight="1" x14ac:dyDescent="0.45">
      <c r="A70" s="72"/>
      <c r="B70" s="43" t="s">
        <v>20</v>
      </c>
      <c r="C70" s="46">
        <f>C68+C69</f>
        <v>10056.039000000001</v>
      </c>
      <c r="D70" s="63"/>
      <c r="E70" s="64"/>
    </row>
    <row r="71" spans="1:13" x14ac:dyDescent="0.45">
      <c r="A71" s="8"/>
      <c r="D71" s="63"/>
      <c r="E71" s="64"/>
    </row>
    <row r="72" spans="1:13" x14ac:dyDescent="0.45">
      <c r="A72" s="8"/>
      <c r="D72" s="63"/>
      <c r="E72" s="64"/>
    </row>
    <row r="73" spans="1:13" ht="14.65" thickBot="1" x14ac:dyDescent="0.5">
      <c r="A73" s="15"/>
      <c r="B73" s="16"/>
      <c r="C73" s="16"/>
      <c r="D73" s="65"/>
      <c r="E73" s="66"/>
      <c r="F73" s="5"/>
    </row>
    <row r="75" spans="1:13" x14ac:dyDescent="0.45">
      <c r="A75" s="67" t="s">
        <v>84</v>
      </c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</row>
    <row r="76" spans="1:13" ht="14.65" thickBot="1" x14ac:dyDescent="0.5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</row>
    <row r="77" spans="1:13" x14ac:dyDescent="0.45">
      <c r="A77" s="55" t="s">
        <v>26</v>
      </c>
      <c r="B77" s="56"/>
      <c r="C77" s="56"/>
      <c r="D77" s="56"/>
      <c r="E77" s="57"/>
      <c r="G77" s="55" t="s">
        <v>26</v>
      </c>
      <c r="H77" s="56"/>
      <c r="I77" s="56"/>
      <c r="J77" s="56"/>
      <c r="K77" s="56"/>
      <c r="L77" s="56"/>
      <c r="M77" s="57"/>
    </row>
    <row r="78" spans="1:13" ht="14.65" thickBot="1" x14ac:dyDescent="0.5">
      <c r="A78" s="62" t="s">
        <v>6</v>
      </c>
      <c r="B78" s="60"/>
      <c r="C78" s="60"/>
      <c r="D78" s="60"/>
      <c r="E78" s="61"/>
      <c r="G78" s="62" t="s">
        <v>82</v>
      </c>
      <c r="H78" s="60"/>
      <c r="I78" s="60"/>
      <c r="J78" s="60"/>
      <c r="K78" s="60"/>
      <c r="L78" s="60"/>
      <c r="M78" s="61"/>
    </row>
    <row r="79" spans="1:13" ht="14.65" thickBot="1" x14ac:dyDescent="0.5">
      <c r="A79" s="72" t="s">
        <v>28</v>
      </c>
      <c r="B79" s="24" t="s">
        <v>7</v>
      </c>
      <c r="C79" s="54">
        <v>6336.6</v>
      </c>
      <c r="E79" s="9"/>
      <c r="G79" s="8"/>
      <c r="H79" s="3" t="s">
        <v>76</v>
      </c>
      <c r="I79" s="3" t="s">
        <v>75</v>
      </c>
      <c r="J79" s="3" t="s">
        <v>77</v>
      </c>
      <c r="K79" s="3" t="s">
        <v>78</v>
      </c>
      <c r="L79" s="3" t="s">
        <v>79</v>
      </c>
      <c r="M79" s="10" t="s">
        <v>80</v>
      </c>
    </row>
    <row r="80" spans="1:13" ht="14.65" thickBot="1" x14ac:dyDescent="0.5">
      <c r="A80" s="72"/>
      <c r="B80" s="24" t="s">
        <v>8</v>
      </c>
      <c r="C80" s="54">
        <v>866.71</v>
      </c>
      <c r="D80" s="3" t="s">
        <v>9</v>
      </c>
      <c r="E80" s="10" t="s">
        <v>10</v>
      </c>
      <c r="G80" s="8" t="s">
        <v>63</v>
      </c>
      <c r="H80">
        <v>79.87</v>
      </c>
      <c r="I80">
        <v>587.12</v>
      </c>
      <c r="J80">
        <v>9.7799999999999994</v>
      </c>
      <c r="K80">
        <v>0</v>
      </c>
      <c r="L80">
        <v>595.84</v>
      </c>
      <c r="M80" s="9">
        <v>0</v>
      </c>
    </row>
    <row r="81" spans="1:13" ht="14.65" thickBot="1" x14ac:dyDescent="0.5">
      <c r="A81" s="72" t="s">
        <v>3</v>
      </c>
      <c r="B81" s="25" t="s">
        <v>29</v>
      </c>
      <c r="C81" s="27">
        <v>1776.24</v>
      </c>
      <c r="D81" s="27"/>
      <c r="E81" s="11"/>
      <c r="G81" s="8" t="s">
        <v>64</v>
      </c>
      <c r="H81">
        <v>73.11</v>
      </c>
      <c r="I81">
        <v>534.64</v>
      </c>
      <c r="J81">
        <v>7.94</v>
      </c>
      <c r="K81">
        <v>0</v>
      </c>
      <c r="L81">
        <v>438</v>
      </c>
      <c r="M81" s="9">
        <v>0</v>
      </c>
    </row>
    <row r="82" spans="1:13" ht="14.65" thickBot="1" x14ac:dyDescent="0.5">
      <c r="A82" s="72"/>
      <c r="B82" s="25" t="s">
        <v>11</v>
      </c>
      <c r="C82" s="6">
        <v>1903.46</v>
      </c>
      <c r="D82" s="27">
        <f>C82/$C$1</f>
        <v>4.3503679663573616</v>
      </c>
      <c r="E82" s="11">
        <f>C82/$C$2</f>
        <v>8.0135561823769628</v>
      </c>
      <c r="G82" s="8" t="s">
        <v>65</v>
      </c>
      <c r="H82">
        <v>85.5</v>
      </c>
      <c r="I82">
        <v>617.91999999999996</v>
      </c>
      <c r="J82">
        <v>6.03</v>
      </c>
      <c r="K82">
        <v>0</v>
      </c>
      <c r="L82">
        <v>229.12</v>
      </c>
      <c r="M82" s="9">
        <v>1</v>
      </c>
    </row>
    <row r="83" spans="1:13" x14ac:dyDescent="0.45">
      <c r="A83" s="72"/>
      <c r="B83" s="25" t="s">
        <v>103</v>
      </c>
      <c r="C83" s="26">
        <v>1123.94</v>
      </c>
      <c r="D83" s="27"/>
      <c r="E83" s="11"/>
      <c r="G83" s="8" t="s">
        <v>66</v>
      </c>
      <c r="H83">
        <v>73.11</v>
      </c>
      <c r="I83">
        <v>534.64</v>
      </c>
      <c r="J83">
        <v>3.28</v>
      </c>
      <c r="K83">
        <v>0</v>
      </c>
      <c r="L83">
        <v>91.15</v>
      </c>
      <c r="M83" s="9">
        <v>20.7</v>
      </c>
    </row>
    <row r="84" spans="1:13" x14ac:dyDescent="0.45">
      <c r="A84" s="72"/>
      <c r="B84" s="25"/>
      <c r="C84" s="26"/>
      <c r="D84" s="27"/>
      <c r="E84" s="11"/>
      <c r="G84" s="8" t="s">
        <v>67</v>
      </c>
      <c r="H84">
        <v>83.76</v>
      </c>
      <c r="I84">
        <v>613.72</v>
      </c>
      <c r="J84">
        <v>1.07</v>
      </c>
      <c r="K84">
        <v>0</v>
      </c>
      <c r="L84">
        <v>6.59</v>
      </c>
      <c r="M84" s="9">
        <v>68.44</v>
      </c>
    </row>
    <row r="85" spans="1:13" x14ac:dyDescent="0.45">
      <c r="A85" s="72"/>
      <c r="B85" s="25"/>
      <c r="C85" s="26"/>
      <c r="D85" s="27"/>
      <c r="E85" s="11"/>
      <c r="G85" s="8" t="s">
        <v>68</v>
      </c>
      <c r="H85">
        <v>79.87</v>
      </c>
      <c r="I85">
        <v>587.12</v>
      </c>
      <c r="J85">
        <v>1.55</v>
      </c>
      <c r="K85">
        <v>0</v>
      </c>
      <c r="L85">
        <v>0.18</v>
      </c>
      <c r="M85" s="9">
        <v>145.6</v>
      </c>
    </row>
    <row r="86" spans="1:13" ht="14.65" thickBot="1" x14ac:dyDescent="0.5">
      <c r="A86" s="72"/>
      <c r="B86" s="28" t="s">
        <v>30</v>
      </c>
      <c r="C86" s="30">
        <v>2196.3000000000002</v>
      </c>
      <c r="D86" s="30"/>
      <c r="E86" s="12"/>
      <c r="G86" s="8" t="s">
        <v>69</v>
      </c>
      <c r="H86">
        <v>76.489999999999995</v>
      </c>
      <c r="I86">
        <v>560.88</v>
      </c>
      <c r="J86">
        <v>2.82</v>
      </c>
      <c r="K86">
        <v>0</v>
      </c>
      <c r="L86">
        <v>0</v>
      </c>
      <c r="M86" s="9">
        <v>264.49</v>
      </c>
    </row>
    <row r="87" spans="1:13" ht="14.65" thickBot="1" x14ac:dyDescent="0.5">
      <c r="A87" s="72"/>
      <c r="B87" s="28" t="s">
        <v>12</v>
      </c>
      <c r="C87" s="7">
        <v>832</v>
      </c>
      <c r="D87" s="30">
        <f>C87/$C$1</f>
        <v>1.9015404305892032</v>
      </c>
      <c r="E87" s="12">
        <f>C87/$C$2</f>
        <v>3.5027154464699195</v>
      </c>
      <c r="G87" s="8" t="s">
        <v>70</v>
      </c>
      <c r="H87">
        <v>0</v>
      </c>
      <c r="I87">
        <v>0</v>
      </c>
      <c r="J87">
        <v>0</v>
      </c>
      <c r="K87">
        <v>0</v>
      </c>
      <c r="L87">
        <v>0</v>
      </c>
      <c r="M87" s="9">
        <v>0</v>
      </c>
    </row>
    <row r="88" spans="1:13" x14ac:dyDescent="0.45">
      <c r="A88" s="72"/>
      <c r="B88" s="28" t="s">
        <v>104</v>
      </c>
      <c r="C88" s="29">
        <v>96.07</v>
      </c>
      <c r="D88" s="29"/>
      <c r="E88" s="12"/>
      <c r="G88" s="8" t="s">
        <v>71</v>
      </c>
      <c r="H88">
        <v>78.23</v>
      </c>
      <c r="I88">
        <v>565.08000000000004</v>
      </c>
      <c r="J88">
        <v>2.69</v>
      </c>
      <c r="K88">
        <v>0</v>
      </c>
      <c r="L88">
        <v>0</v>
      </c>
      <c r="M88" s="9">
        <v>250.59</v>
      </c>
    </row>
    <row r="89" spans="1:13" x14ac:dyDescent="0.45">
      <c r="A89" s="72"/>
      <c r="B89" s="28"/>
      <c r="C89" s="29"/>
      <c r="D89" s="29"/>
      <c r="E89" s="12"/>
      <c r="G89" s="8" t="s">
        <v>72</v>
      </c>
      <c r="H89">
        <v>79.87</v>
      </c>
      <c r="I89">
        <v>587.12</v>
      </c>
      <c r="J89">
        <v>0.86</v>
      </c>
      <c r="K89">
        <v>0</v>
      </c>
      <c r="L89">
        <v>1.26</v>
      </c>
      <c r="M89" s="9">
        <v>76.459999999999994</v>
      </c>
    </row>
    <row r="90" spans="1:13" ht="14.65" thickBot="1" x14ac:dyDescent="0.5">
      <c r="A90" s="72"/>
      <c r="B90" s="28"/>
      <c r="C90" s="29"/>
      <c r="D90" s="29"/>
      <c r="E90" s="12"/>
      <c r="G90" s="8" t="s">
        <v>73</v>
      </c>
      <c r="H90">
        <v>80.39</v>
      </c>
      <c r="I90">
        <v>587.48</v>
      </c>
      <c r="J90">
        <v>5.07</v>
      </c>
      <c r="K90">
        <v>0</v>
      </c>
      <c r="L90">
        <v>189.47</v>
      </c>
      <c r="M90" s="9">
        <v>4.71</v>
      </c>
    </row>
    <row r="91" spans="1:13" ht="14.65" thickBot="1" x14ac:dyDescent="0.5">
      <c r="A91" s="72"/>
      <c r="B91" s="31" t="s">
        <v>23</v>
      </c>
      <c r="C91" s="18">
        <v>48.96</v>
      </c>
      <c r="D91" s="32"/>
      <c r="E91" s="49"/>
      <c r="G91" s="8" t="s">
        <v>74</v>
      </c>
      <c r="H91">
        <v>76.489999999999995</v>
      </c>
      <c r="I91">
        <v>560.88</v>
      </c>
      <c r="J91">
        <v>7.89</v>
      </c>
      <c r="K91">
        <v>0</v>
      </c>
      <c r="L91">
        <v>351.85</v>
      </c>
      <c r="M91" s="9">
        <v>0</v>
      </c>
    </row>
    <row r="92" spans="1:13" x14ac:dyDescent="0.45">
      <c r="A92" s="72" t="s">
        <v>2</v>
      </c>
      <c r="B92" s="33" t="s">
        <v>32</v>
      </c>
      <c r="C92" s="34"/>
      <c r="D92" s="35"/>
      <c r="E92" s="13"/>
      <c r="G92" s="8"/>
      <c r="M92" s="9"/>
    </row>
    <row r="93" spans="1:13" ht="14.65" thickBot="1" x14ac:dyDescent="0.5">
      <c r="A93" s="72"/>
      <c r="B93" s="14" t="s">
        <v>31</v>
      </c>
      <c r="C93" s="36"/>
      <c r="D93" s="36"/>
      <c r="E93" s="50"/>
      <c r="G93" s="15" t="s">
        <v>81</v>
      </c>
      <c r="H93" s="16">
        <v>866.71</v>
      </c>
      <c r="I93" s="16">
        <v>6336.6</v>
      </c>
      <c r="J93" s="16">
        <v>48.96</v>
      </c>
      <c r="K93" s="16">
        <v>0</v>
      </c>
      <c r="L93" s="16">
        <v>1903.46</v>
      </c>
      <c r="M93" s="21">
        <v>832</v>
      </c>
    </row>
    <row r="94" spans="1:13" x14ac:dyDescent="0.45">
      <c r="A94" s="72"/>
      <c r="B94" s="37" t="s">
        <v>27</v>
      </c>
      <c r="C94" s="53"/>
      <c r="D94" s="38"/>
      <c r="E94" s="51"/>
    </row>
    <row r="95" spans="1:13" x14ac:dyDescent="0.45">
      <c r="A95" s="72"/>
      <c r="B95" s="14" t="s">
        <v>13</v>
      </c>
      <c r="C95" s="36"/>
      <c r="D95" s="36"/>
      <c r="E95" s="51"/>
    </row>
    <row r="96" spans="1:13" x14ac:dyDescent="0.45">
      <c r="A96" s="8"/>
      <c r="B96" s="39" t="s">
        <v>24</v>
      </c>
      <c r="C96" s="40">
        <f>C79+C80+C82+C87+C91+C92</f>
        <v>9987.73</v>
      </c>
      <c r="D96" s="41"/>
      <c r="E96" s="22"/>
    </row>
    <row r="97" spans="1:13" x14ac:dyDescent="0.45">
      <c r="A97" s="8"/>
      <c r="E97" s="9"/>
    </row>
    <row r="98" spans="1:13" ht="15.75" x14ac:dyDescent="0.5">
      <c r="A98" s="72" t="s">
        <v>25</v>
      </c>
      <c r="B98" s="43" t="s">
        <v>14</v>
      </c>
      <c r="C98" s="44">
        <v>3758.0169999999998</v>
      </c>
      <c r="E98" s="9"/>
    </row>
    <row r="99" spans="1:13" ht="15.75" x14ac:dyDescent="0.5">
      <c r="A99" s="72"/>
      <c r="B99" s="43" t="s">
        <v>110</v>
      </c>
      <c r="C99" s="45">
        <v>-36.51</v>
      </c>
      <c r="E99" s="9"/>
    </row>
    <row r="100" spans="1:13" ht="15.75" x14ac:dyDescent="0.5">
      <c r="A100" s="72"/>
      <c r="B100" s="43" t="s">
        <v>15</v>
      </c>
      <c r="C100" s="45">
        <v>-111.65</v>
      </c>
      <c r="E100" s="52"/>
    </row>
    <row r="101" spans="1:13" ht="15.75" x14ac:dyDescent="0.45">
      <c r="A101" s="72"/>
      <c r="B101" s="43" t="s">
        <v>16</v>
      </c>
      <c r="C101" s="46">
        <f>C98+C99+C100</f>
        <v>3609.8569999999995</v>
      </c>
      <c r="E101" s="9"/>
    </row>
    <row r="102" spans="1:13" ht="15.75" x14ac:dyDescent="0.45">
      <c r="A102" s="72"/>
      <c r="B102" s="43" t="s">
        <v>17</v>
      </c>
      <c r="C102" s="47">
        <v>-1149.3420000000001</v>
      </c>
      <c r="E102" s="9"/>
    </row>
    <row r="103" spans="1:13" ht="15.75" x14ac:dyDescent="0.5">
      <c r="A103" s="72"/>
      <c r="B103" s="43" t="s">
        <v>18</v>
      </c>
      <c r="C103" s="44">
        <f>C101+C102</f>
        <v>2460.5149999999994</v>
      </c>
      <c r="E103" s="9"/>
    </row>
    <row r="104" spans="1:13" ht="15.75" x14ac:dyDescent="0.5">
      <c r="A104" s="72"/>
      <c r="B104" s="43" t="s">
        <v>19</v>
      </c>
      <c r="C104" s="45">
        <v>7527.2129999999997</v>
      </c>
      <c r="E104" s="9"/>
    </row>
    <row r="105" spans="1:13" ht="15.75" customHeight="1" x14ac:dyDescent="0.45">
      <c r="A105" s="72"/>
      <c r="B105" s="43" t="s">
        <v>20</v>
      </c>
      <c r="C105" s="46">
        <f>C103+C104</f>
        <v>9987.7279999999992</v>
      </c>
      <c r="D105" s="63"/>
      <c r="E105" s="64"/>
    </row>
    <row r="106" spans="1:13" x14ac:dyDescent="0.45">
      <c r="A106" s="8"/>
      <c r="D106" s="63"/>
      <c r="E106" s="64"/>
    </row>
    <row r="107" spans="1:13" x14ac:dyDescent="0.45">
      <c r="A107" s="8"/>
      <c r="D107" s="63"/>
      <c r="E107" s="64"/>
    </row>
    <row r="108" spans="1:13" ht="14.65" thickBot="1" x14ac:dyDescent="0.5">
      <c r="A108" s="15"/>
      <c r="B108" s="16"/>
      <c r="C108" s="16"/>
      <c r="D108" s="65"/>
      <c r="E108" s="66"/>
      <c r="F108" s="5"/>
    </row>
    <row r="110" spans="1:13" x14ac:dyDescent="0.45">
      <c r="A110" s="67" t="s">
        <v>85</v>
      </c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</row>
    <row r="111" spans="1:13" ht="14.65" thickBot="1" x14ac:dyDescent="0.5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</row>
    <row r="112" spans="1:13" x14ac:dyDescent="0.45">
      <c r="A112" s="58" t="s">
        <v>26</v>
      </c>
      <c r="B112" s="58"/>
      <c r="C112" s="58"/>
      <c r="D112" s="58"/>
      <c r="E112" s="59"/>
      <c r="G112" s="55" t="s">
        <v>26</v>
      </c>
      <c r="H112" s="56"/>
      <c r="I112" s="56"/>
      <c r="J112" s="56"/>
      <c r="K112" s="56"/>
      <c r="L112" s="56"/>
      <c r="M112" s="57"/>
    </row>
    <row r="113" spans="1:13" ht="14.65" thickBot="1" x14ac:dyDescent="0.5">
      <c r="A113" s="60" t="s">
        <v>6</v>
      </c>
      <c r="B113" s="60"/>
      <c r="C113" s="60"/>
      <c r="D113" s="60"/>
      <c r="E113" s="61"/>
      <c r="G113" s="62" t="s">
        <v>82</v>
      </c>
      <c r="H113" s="60"/>
      <c r="I113" s="60"/>
      <c r="J113" s="60"/>
      <c r="K113" s="60"/>
      <c r="L113" s="60"/>
      <c r="M113" s="61"/>
    </row>
    <row r="114" spans="1:13" ht="14.65" thickBot="1" x14ac:dyDescent="0.5">
      <c r="A114" s="73" t="s">
        <v>28</v>
      </c>
      <c r="B114" s="24" t="s">
        <v>7</v>
      </c>
      <c r="C114" s="54">
        <v>6336.6</v>
      </c>
      <c r="E114" s="9"/>
      <c r="G114" s="8"/>
      <c r="H114" s="3" t="s">
        <v>76</v>
      </c>
      <c r="I114" s="3" t="s">
        <v>75</v>
      </c>
      <c r="J114" s="3" t="s">
        <v>77</v>
      </c>
      <c r="K114" s="3" t="s">
        <v>78</v>
      </c>
      <c r="L114" s="3" t="s">
        <v>79</v>
      </c>
      <c r="M114" s="10" t="s">
        <v>80</v>
      </c>
    </row>
    <row r="115" spans="1:13" ht="14.65" thickBot="1" x14ac:dyDescent="0.5">
      <c r="A115" s="73"/>
      <c r="B115" s="24" t="s">
        <v>8</v>
      </c>
      <c r="C115" s="54">
        <v>866.71</v>
      </c>
      <c r="D115" s="3" t="s">
        <v>9</v>
      </c>
      <c r="E115" s="10" t="s">
        <v>10</v>
      </c>
      <c r="G115" s="8" t="s">
        <v>63</v>
      </c>
      <c r="H115">
        <v>79.87</v>
      </c>
      <c r="I115">
        <v>587.12</v>
      </c>
      <c r="J115">
        <v>9.18</v>
      </c>
      <c r="K115">
        <v>0</v>
      </c>
      <c r="L115">
        <v>479.56</v>
      </c>
      <c r="M115" s="9">
        <v>0</v>
      </c>
    </row>
    <row r="116" spans="1:13" ht="14.65" thickBot="1" x14ac:dyDescent="0.5">
      <c r="A116" s="73" t="s">
        <v>3</v>
      </c>
      <c r="B116" s="25" t="s">
        <v>29</v>
      </c>
      <c r="C116" s="27">
        <v>1288.72</v>
      </c>
      <c r="D116" s="27"/>
      <c r="E116" s="11"/>
      <c r="G116" s="8" t="s">
        <v>64</v>
      </c>
      <c r="H116">
        <v>73.11</v>
      </c>
      <c r="I116">
        <v>534.64</v>
      </c>
      <c r="J116">
        <v>7.17</v>
      </c>
      <c r="K116">
        <v>0</v>
      </c>
      <c r="L116">
        <v>345.41</v>
      </c>
      <c r="M116" s="9">
        <v>0</v>
      </c>
    </row>
    <row r="117" spans="1:13" ht="14.65" thickBot="1" x14ac:dyDescent="0.5">
      <c r="A117" s="73"/>
      <c r="B117" s="25" t="s">
        <v>11</v>
      </c>
      <c r="C117" s="6">
        <v>1388.28</v>
      </c>
      <c r="D117" s="27">
        <f>C117/$C$1</f>
        <v>3.1729213329067054</v>
      </c>
      <c r="E117" s="11">
        <f>C117/$C$2</f>
        <v>5.8446512019534369</v>
      </c>
      <c r="G117" s="8" t="s">
        <v>65</v>
      </c>
      <c r="H117">
        <v>85.5</v>
      </c>
      <c r="I117">
        <v>617.91999999999996</v>
      </c>
      <c r="J117">
        <v>4.7</v>
      </c>
      <c r="K117">
        <v>0</v>
      </c>
      <c r="L117">
        <v>149.57</v>
      </c>
      <c r="M117" s="9">
        <v>3.31</v>
      </c>
    </row>
    <row r="118" spans="1:13" x14ac:dyDescent="0.45">
      <c r="A118" s="73"/>
      <c r="B118" s="25" t="s">
        <v>103</v>
      </c>
      <c r="C118" s="26">
        <v>806.87</v>
      </c>
      <c r="D118" s="27"/>
      <c r="E118" s="11"/>
      <c r="G118" s="8" t="s">
        <v>66</v>
      </c>
      <c r="H118">
        <v>73.11</v>
      </c>
      <c r="I118">
        <v>534.64</v>
      </c>
      <c r="J118">
        <v>2.29</v>
      </c>
      <c r="K118">
        <v>0</v>
      </c>
      <c r="L118">
        <v>46.67</v>
      </c>
      <c r="M118" s="9">
        <v>33.51</v>
      </c>
    </row>
    <row r="119" spans="1:13" x14ac:dyDescent="0.45">
      <c r="A119" s="73"/>
      <c r="B119" s="25"/>
      <c r="C119" s="26"/>
      <c r="D119" s="27"/>
      <c r="E119" s="11"/>
      <c r="G119" s="8" t="s">
        <v>67</v>
      </c>
      <c r="H119">
        <v>83.76</v>
      </c>
      <c r="I119">
        <v>613.72</v>
      </c>
      <c r="J119">
        <v>1.27</v>
      </c>
      <c r="K119">
        <v>0</v>
      </c>
      <c r="L119">
        <v>1.42</v>
      </c>
      <c r="M119" s="9">
        <v>113.33</v>
      </c>
    </row>
    <row r="120" spans="1:13" x14ac:dyDescent="0.45">
      <c r="A120" s="73"/>
      <c r="B120" s="25"/>
      <c r="C120" s="26"/>
      <c r="D120" s="27"/>
      <c r="E120" s="11"/>
      <c r="G120" s="8" t="s">
        <v>68</v>
      </c>
      <c r="H120">
        <v>79.87</v>
      </c>
      <c r="I120">
        <v>587.12</v>
      </c>
      <c r="J120">
        <v>2.34</v>
      </c>
      <c r="K120">
        <v>0</v>
      </c>
      <c r="L120">
        <v>0.02</v>
      </c>
      <c r="M120" s="9">
        <v>221.51</v>
      </c>
    </row>
    <row r="121" spans="1:13" ht="14.65" thickBot="1" x14ac:dyDescent="0.5">
      <c r="A121" s="73"/>
      <c r="B121" s="28" t="s">
        <v>30</v>
      </c>
      <c r="C121" s="30">
        <v>3111.28</v>
      </c>
      <c r="D121" s="30"/>
      <c r="E121" s="12"/>
      <c r="G121" s="8" t="s">
        <v>69</v>
      </c>
      <c r="H121">
        <v>76.489999999999995</v>
      </c>
      <c r="I121">
        <v>560.88</v>
      </c>
      <c r="J121">
        <v>3.58</v>
      </c>
      <c r="K121">
        <v>0</v>
      </c>
      <c r="L121">
        <v>0</v>
      </c>
      <c r="M121" s="9">
        <v>338.95</v>
      </c>
    </row>
    <row r="122" spans="1:13" ht="14.65" thickBot="1" x14ac:dyDescent="0.5">
      <c r="A122" s="73"/>
      <c r="B122" s="28" t="s">
        <v>12</v>
      </c>
      <c r="C122" s="7">
        <v>1180.02</v>
      </c>
      <c r="D122" s="30">
        <f>C122/$C$1</f>
        <v>2.6969419938748453</v>
      </c>
      <c r="E122" s="12">
        <f>C122/$C$2</f>
        <v>4.9678777417589357</v>
      </c>
      <c r="G122" s="8" t="s">
        <v>70</v>
      </c>
      <c r="H122">
        <v>0</v>
      </c>
      <c r="I122">
        <v>0</v>
      </c>
      <c r="J122">
        <v>0</v>
      </c>
      <c r="K122">
        <v>0</v>
      </c>
      <c r="L122">
        <v>0</v>
      </c>
      <c r="M122" s="9">
        <v>0</v>
      </c>
    </row>
    <row r="123" spans="1:13" x14ac:dyDescent="0.45">
      <c r="A123" s="73"/>
      <c r="B123" s="28" t="s">
        <v>104</v>
      </c>
      <c r="C123" s="29">
        <v>171.89</v>
      </c>
      <c r="D123" s="29"/>
      <c r="E123" s="12"/>
      <c r="G123" s="8" t="s">
        <v>71</v>
      </c>
      <c r="H123">
        <v>78.23</v>
      </c>
      <c r="I123">
        <v>565.08000000000004</v>
      </c>
      <c r="J123">
        <v>3.55</v>
      </c>
      <c r="K123">
        <v>0</v>
      </c>
      <c r="L123">
        <v>0</v>
      </c>
      <c r="M123" s="9">
        <v>334.68</v>
      </c>
    </row>
    <row r="124" spans="1:13" x14ac:dyDescent="0.45">
      <c r="A124" s="73"/>
      <c r="B124" s="28"/>
      <c r="C124" s="29"/>
      <c r="D124" s="29"/>
      <c r="E124" s="12"/>
      <c r="G124" s="8" t="s">
        <v>72</v>
      </c>
      <c r="H124">
        <v>79.87</v>
      </c>
      <c r="I124">
        <v>587.12</v>
      </c>
      <c r="J124">
        <v>1.34</v>
      </c>
      <c r="K124">
        <v>0</v>
      </c>
      <c r="L124">
        <v>0.32</v>
      </c>
      <c r="M124" s="9">
        <v>124.89</v>
      </c>
    </row>
    <row r="125" spans="1:13" ht="14.65" thickBot="1" x14ac:dyDescent="0.5">
      <c r="A125" s="73"/>
      <c r="B125" s="28"/>
      <c r="C125" s="29"/>
      <c r="D125" s="29"/>
      <c r="E125" s="12"/>
      <c r="G125" s="8" t="s">
        <v>73</v>
      </c>
      <c r="H125">
        <v>80.39</v>
      </c>
      <c r="I125">
        <v>587.48</v>
      </c>
      <c r="J125">
        <v>3.89</v>
      </c>
      <c r="K125">
        <v>0</v>
      </c>
      <c r="L125">
        <v>116.09</v>
      </c>
      <c r="M125" s="9">
        <v>9.82</v>
      </c>
    </row>
    <row r="126" spans="1:13" ht="14.65" thickBot="1" x14ac:dyDescent="0.5">
      <c r="A126" s="73"/>
      <c r="B126" s="31" t="s">
        <v>23</v>
      </c>
      <c r="C126" s="18">
        <v>46.05</v>
      </c>
      <c r="D126" s="32"/>
      <c r="E126" s="49"/>
      <c r="G126" s="8" t="s">
        <v>74</v>
      </c>
      <c r="H126">
        <v>76.489999999999995</v>
      </c>
      <c r="I126">
        <v>560.88</v>
      </c>
      <c r="J126">
        <v>6.76</v>
      </c>
      <c r="K126">
        <v>0</v>
      </c>
      <c r="L126">
        <v>249.22</v>
      </c>
      <c r="M126" s="9">
        <v>0</v>
      </c>
    </row>
    <row r="127" spans="1:13" x14ac:dyDescent="0.45">
      <c r="A127" s="73" t="s">
        <v>2</v>
      </c>
      <c r="B127" s="33" t="s">
        <v>32</v>
      </c>
      <c r="C127" s="34"/>
      <c r="D127" s="35"/>
      <c r="E127" s="13"/>
      <c r="G127" s="8"/>
      <c r="M127" s="9"/>
    </row>
    <row r="128" spans="1:13" ht="14.65" thickBot="1" x14ac:dyDescent="0.5">
      <c r="A128" s="73"/>
      <c r="B128" s="14" t="s">
        <v>31</v>
      </c>
      <c r="C128" s="36"/>
      <c r="D128" s="36"/>
      <c r="E128" s="50"/>
      <c r="G128" s="15" t="s">
        <v>81</v>
      </c>
      <c r="H128" s="16">
        <v>866.71</v>
      </c>
      <c r="I128" s="16">
        <v>6336.6</v>
      </c>
      <c r="J128" s="16">
        <v>46.05</v>
      </c>
      <c r="K128" s="16">
        <v>0</v>
      </c>
      <c r="L128" s="16">
        <v>1388.28</v>
      </c>
      <c r="M128" s="21">
        <v>1180.02</v>
      </c>
    </row>
    <row r="129" spans="1:6" x14ac:dyDescent="0.45">
      <c r="A129" s="73"/>
      <c r="B129" s="37" t="s">
        <v>27</v>
      </c>
      <c r="C129" s="53"/>
      <c r="D129" s="38"/>
      <c r="E129" s="51"/>
    </row>
    <row r="130" spans="1:6" x14ac:dyDescent="0.45">
      <c r="A130" s="73"/>
      <c r="B130" s="14" t="s">
        <v>13</v>
      </c>
      <c r="C130" s="36"/>
      <c r="D130" s="36"/>
      <c r="E130" s="51"/>
    </row>
    <row r="131" spans="1:6" x14ac:dyDescent="0.45">
      <c r="B131" s="39" t="s">
        <v>24</v>
      </c>
      <c r="C131" s="40">
        <f>C114+C115+C117+C122+C126+C127</f>
        <v>9817.66</v>
      </c>
      <c r="D131" s="41"/>
      <c r="E131" s="22"/>
    </row>
    <row r="132" spans="1:6" x14ac:dyDescent="0.45">
      <c r="E132" s="9"/>
    </row>
    <row r="133" spans="1:6" ht="15.75" x14ac:dyDescent="0.5">
      <c r="A133" s="73" t="s">
        <v>25</v>
      </c>
      <c r="B133" s="43" t="s">
        <v>14</v>
      </c>
      <c r="C133" s="44">
        <v>3801.6990000000001</v>
      </c>
      <c r="E133" s="9"/>
    </row>
    <row r="134" spans="1:6" ht="15.75" x14ac:dyDescent="0.5">
      <c r="A134" s="73"/>
      <c r="B134" s="43" t="s">
        <v>110</v>
      </c>
      <c r="C134" s="45">
        <v>-36.61</v>
      </c>
      <c r="E134" s="9"/>
    </row>
    <row r="135" spans="1:6" ht="15.75" x14ac:dyDescent="0.5">
      <c r="A135" s="73"/>
      <c r="B135" s="43" t="s">
        <v>15</v>
      </c>
      <c r="C135" s="45">
        <v>-112.95</v>
      </c>
      <c r="E135" s="52"/>
    </row>
    <row r="136" spans="1:6" ht="15.75" x14ac:dyDescent="0.45">
      <c r="A136" s="73"/>
      <c r="B136" s="43" t="s">
        <v>16</v>
      </c>
      <c r="C136" s="46">
        <f>C133+C134+C135</f>
        <v>3652.1390000000001</v>
      </c>
      <c r="E136" s="9"/>
    </row>
    <row r="137" spans="1:6" ht="15.75" x14ac:dyDescent="0.45">
      <c r="A137" s="73"/>
      <c r="B137" s="43" t="s">
        <v>17</v>
      </c>
      <c r="C137" s="47">
        <v>-1161.3320000000001</v>
      </c>
      <c r="E137" s="9"/>
    </row>
    <row r="138" spans="1:6" ht="15.75" x14ac:dyDescent="0.5">
      <c r="A138" s="73"/>
      <c r="B138" s="43" t="s">
        <v>18</v>
      </c>
      <c r="C138" s="44">
        <f>C136+C137</f>
        <v>2490.8069999999998</v>
      </c>
      <c r="E138" s="9"/>
    </row>
    <row r="139" spans="1:6" ht="15.75" x14ac:dyDescent="0.5">
      <c r="A139" s="73"/>
      <c r="B139" s="43" t="s">
        <v>19</v>
      </c>
      <c r="C139" s="45">
        <v>7326.8549999999996</v>
      </c>
      <c r="E139" s="9"/>
    </row>
    <row r="140" spans="1:6" ht="15.75" customHeight="1" x14ac:dyDescent="0.45">
      <c r="A140" s="73"/>
      <c r="B140" s="43" t="s">
        <v>20</v>
      </c>
      <c r="C140" s="46">
        <f>C138+C139</f>
        <v>9817.6620000000003</v>
      </c>
      <c r="D140" s="63"/>
      <c r="E140" s="64"/>
    </row>
    <row r="141" spans="1:6" x14ac:dyDescent="0.45">
      <c r="D141" s="63"/>
      <c r="E141" s="64"/>
    </row>
    <row r="142" spans="1:6" x14ac:dyDescent="0.45">
      <c r="D142" s="63"/>
      <c r="E142" s="64"/>
    </row>
    <row r="143" spans="1:6" ht="14.65" thickBot="1" x14ac:dyDescent="0.5">
      <c r="B143" s="16"/>
      <c r="C143" s="16"/>
      <c r="D143" s="65"/>
      <c r="E143" s="66"/>
      <c r="F143" s="5"/>
    </row>
  </sheetData>
  <mergeCells count="41">
    <mergeCell ref="G78:M78"/>
    <mergeCell ref="A133:A140"/>
    <mergeCell ref="D140:E143"/>
    <mergeCell ref="A81:A91"/>
    <mergeCell ref="A92:A95"/>
    <mergeCell ref="A98:A105"/>
    <mergeCell ref="A110:M111"/>
    <mergeCell ref="G112:M112"/>
    <mergeCell ref="D105:E108"/>
    <mergeCell ref="G113:M113"/>
    <mergeCell ref="A114:A115"/>
    <mergeCell ref="A116:A126"/>
    <mergeCell ref="A127:A130"/>
    <mergeCell ref="A4:M5"/>
    <mergeCell ref="A40:M41"/>
    <mergeCell ref="G42:M42"/>
    <mergeCell ref="G43:M43"/>
    <mergeCell ref="D34:E34"/>
    <mergeCell ref="D35:E37"/>
    <mergeCell ref="G6:M6"/>
    <mergeCell ref="G7:M7"/>
    <mergeCell ref="A27:A34"/>
    <mergeCell ref="A8:A9"/>
    <mergeCell ref="A10:A20"/>
    <mergeCell ref="A21:A24"/>
    <mergeCell ref="A6:E6"/>
    <mergeCell ref="A112:E112"/>
    <mergeCell ref="A113:E113"/>
    <mergeCell ref="A77:E77"/>
    <mergeCell ref="A78:E78"/>
    <mergeCell ref="A42:E42"/>
    <mergeCell ref="A43:E43"/>
    <mergeCell ref="A7:E7"/>
    <mergeCell ref="D70:E73"/>
    <mergeCell ref="A79:A80"/>
    <mergeCell ref="A44:A45"/>
    <mergeCell ref="A46:A56"/>
    <mergeCell ref="A57:A60"/>
    <mergeCell ref="A63:A70"/>
    <mergeCell ref="A75:M76"/>
    <mergeCell ref="G77:M7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E574-24A0-44BD-B612-69936DFCDE47}">
  <dimension ref="A1:M142"/>
  <sheetViews>
    <sheetView zoomScaleNormal="100" workbookViewId="0">
      <selection activeCell="B1" sqref="B1"/>
    </sheetView>
  </sheetViews>
  <sheetFormatPr defaultRowHeight="14.25" x14ac:dyDescent="0.45"/>
  <cols>
    <col min="1" max="1" width="3.33203125" customWidth="1"/>
    <col min="2" max="2" width="50.265625" bestFit="1" customWidth="1"/>
    <col min="3" max="3" width="9.3984375" bestFit="1" customWidth="1"/>
    <col min="4" max="4" width="14.06640625" customWidth="1"/>
    <col min="5" max="5" width="18.1328125" customWidth="1"/>
    <col min="6" max="6" width="9.06640625" customWidth="1"/>
    <col min="7" max="7" width="10" bestFit="1" customWidth="1"/>
    <col min="8" max="8" width="17" bestFit="1" customWidth="1"/>
    <col min="9" max="9" width="19.46484375" bestFit="1" customWidth="1"/>
    <col min="10" max="10" width="14.53125" bestFit="1" customWidth="1"/>
    <col min="11" max="11" width="16.265625" bestFit="1" customWidth="1"/>
    <col min="12" max="12" width="17" bestFit="1" customWidth="1"/>
    <col min="13" max="13" width="16.9296875" bestFit="1" customWidth="1"/>
  </cols>
  <sheetData>
    <row r="1" spans="1:13" x14ac:dyDescent="0.45">
      <c r="B1" t="s">
        <v>4</v>
      </c>
      <c r="C1">
        <f>'BAU Results'!C1</f>
        <v>437.54</v>
      </c>
    </row>
    <row r="2" spans="1:13" x14ac:dyDescent="0.45">
      <c r="B2" t="s">
        <v>5</v>
      </c>
      <c r="C2">
        <f>'BAU Results'!C2</f>
        <v>237.53</v>
      </c>
    </row>
    <row r="4" spans="1:13" x14ac:dyDescent="0.45">
      <c r="A4" s="67" t="s">
        <v>86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3" ht="14.65" thickBot="1" x14ac:dyDescent="0.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x14ac:dyDescent="0.45">
      <c r="A6" s="55" t="s">
        <v>101</v>
      </c>
      <c r="B6" s="56"/>
      <c r="C6" s="56"/>
      <c r="D6" s="56"/>
      <c r="E6" s="57"/>
      <c r="G6" s="55" t="s">
        <v>101</v>
      </c>
      <c r="H6" s="56"/>
      <c r="I6" s="56"/>
      <c r="J6" s="56"/>
      <c r="K6" s="56"/>
      <c r="L6" s="56"/>
      <c r="M6" s="57"/>
    </row>
    <row r="7" spans="1:13" ht="14.65" thickBot="1" x14ac:dyDescent="0.5">
      <c r="A7" s="62" t="s">
        <v>6</v>
      </c>
      <c r="B7" s="60"/>
      <c r="C7" s="60"/>
      <c r="D7" s="60"/>
      <c r="E7" s="61"/>
      <c r="G7" s="62" t="s">
        <v>82</v>
      </c>
      <c r="H7" s="60"/>
      <c r="I7" s="60"/>
      <c r="J7" s="60"/>
      <c r="K7" s="60"/>
      <c r="L7" s="60"/>
      <c r="M7" s="61"/>
    </row>
    <row r="8" spans="1:13" ht="14.65" thickBot="1" x14ac:dyDescent="0.5">
      <c r="A8" s="72" t="s">
        <v>28</v>
      </c>
      <c r="B8" s="24" t="s">
        <v>7</v>
      </c>
      <c r="C8" s="54">
        <v>6336.6</v>
      </c>
      <c r="E8" s="9"/>
      <c r="G8" s="8"/>
      <c r="H8" s="3" t="s">
        <v>76</v>
      </c>
      <c r="I8" s="3" t="s">
        <v>75</v>
      </c>
      <c r="J8" s="3" t="s">
        <v>77</v>
      </c>
      <c r="K8" s="3" t="s">
        <v>78</v>
      </c>
      <c r="L8" s="3" t="s">
        <v>79</v>
      </c>
      <c r="M8" s="10" t="s">
        <v>80</v>
      </c>
    </row>
    <row r="9" spans="1:13" ht="14.65" thickBot="1" x14ac:dyDescent="0.5">
      <c r="A9" s="72"/>
      <c r="B9" s="24" t="s">
        <v>8</v>
      </c>
      <c r="C9" s="54">
        <v>866.71</v>
      </c>
      <c r="D9" s="3" t="s">
        <v>9</v>
      </c>
      <c r="E9" s="10" t="s">
        <v>10</v>
      </c>
      <c r="G9" s="8" t="s">
        <v>63</v>
      </c>
      <c r="H9">
        <v>79.87</v>
      </c>
      <c r="I9">
        <v>587.12</v>
      </c>
      <c r="J9">
        <v>3.96</v>
      </c>
      <c r="K9">
        <v>0</v>
      </c>
      <c r="L9">
        <v>180.17</v>
      </c>
      <c r="M9" s="9">
        <v>0</v>
      </c>
    </row>
    <row r="10" spans="1:13" ht="14.65" customHeight="1" thickBot="1" x14ac:dyDescent="0.5">
      <c r="A10" s="72" t="s">
        <v>3</v>
      </c>
      <c r="B10" s="25" t="s">
        <v>29</v>
      </c>
      <c r="C10" s="27">
        <f>'BAU Results'!C10</f>
        <v>2896.84</v>
      </c>
      <c r="D10" s="27"/>
      <c r="E10" s="11"/>
      <c r="G10" s="8" t="s">
        <v>64</v>
      </c>
      <c r="H10">
        <v>73.11</v>
      </c>
      <c r="I10">
        <v>534.64</v>
      </c>
      <c r="J10">
        <v>2.93</v>
      </c>
      <c r="K10">
        <v>0</v>
      </c>
      <c r="L10">
        <v>135.79</v>
      </c>
      <c r="M10" s="9">
        <v>0</v>
      </c>
    </row>
    <row r="11" spans="1:13" ht="14.65" thickBot="1" x14ac:dyDescent="0.5">
      <c r="A11" s="72"/>
      <c r="B11" s="25" t="s">
        <v>11</v>
      </c>
      <c r="C11" s="6">
        <v>642.54</v>
      </c>
      <c r="D11" s="27">
        <f>C11/$C$1</f>
        <v>1.4685285916716184</v>
      </c>
      <c r="E11" s="11">
        <f>C11/$C$2</f>
        <v>2.7050898833831516</v>
      </c>
      <c r="G11" s="8" t="s">
        <v>65</v>
      </c>
      <c r="H11">
        <v>85.5</v>
      </c>
      <c r="I11">
        <v>617.91999999999996</v>
      </c>
      <c r="J11">
        <v>1.8</v>
      </c>
      <c r="K11">
        <v>0</v>
      </c>
      <c r="L11">
        <v>83.25</v>
      </c>
      <c r="M11" s="9">
        <v>0</v>
      </c>
    </row>
    <row r="12" spans="1:13" x14ac:dyDescent="0.45">
      <c r="A12" s="72"/>
      <c r="B12" s="25" t="s">
        <v>103</v>
      </c>
      <c r="C12" s="26">
        <v>180.54</v>
      </c>
      <c r="D12" s="27"/>
      <c r="E12" s="11"/>
      <c r="G12" s="8" t="s">
        <v>66</v>
      </c>
      <c r="H12">
        <v>73.11</v>
      </c>
      <c r="I12">
        <v>534.64</v>
      </c>
      <c r="J12">
        <v>0.97</v>
      </c>
      <c r="K12">
        <v>0</v>
      </c>
      <c r="L12">
        <v>41.4</v>
      </c>
      <c r="M12" s="9">
        <v>3.53</v>
      </c>
    </row>
    <row r="13" spans="1:13" x14ac:dyDescent="0.45">
      <c r="A13" s="72"/>
      <c r="B13" s="25"/>
      <c r="C13" s="26"/>
      <c r="D13" s="27"/>
      <c r="E13" s="11"/>
      <c r="G13" s="8" t="s">
        <v>67</v>
      </c>
      <c r="H13">
        <v>83.76</v>
      </c>
      <c r="I13">
        <v>613.72</v>
      </c>
      <c r="J13">
        <v>0.43</v>
      </c>
      <c r="K13">
        <v>0</v>
      </c>
      <c r="L13">
        <v>8.23</v>
      </c>
      <c r="M13" s="9">
        <v>11.98</v>
      </c>
    </row>
    <row r="14" spans="1:13" x14ac:dyDescent="0.45">
      <c r="A14" s="72"/>
      <c r="B14" s="25"/>
      <c r="C14" s="26"/>
      <c r="D14" s="27"/>
      <c r="E14" s="11"/>
      <c r="G14" s="8" t="s">
        <v>68</v>
      </c>
      <c r="H14">
        <v>79.87</v>
      </c>
      <c r="I14">
        <v>587.12</v>
      </c>
      <c r="J14">
        <v>0.62</v>
      </c>
      <c r="K14">
        <v>0</v>
      </c>
      <c r="L14">
        <v>0.6</v>
      </c>
      <c r="M14" s="9">
        <v>29.58</v>
      </c>
    </row>
    <row r="15" spans="1:13" ht="14.65" thickBot="1" x14ac:dyDescent="0.5">
      <c r="A15" s="72"/>
      <c r="B15" s="28" t="s">
        <v>30</v>
      </c>
      <c r="C15" s="30">
        <f>'BAU Results'!C15</f>
        <v>957.27</v>
      </c>
      <c r="D15" s="30"/>
      <c r="E15" s="12"/>
      <c r="G15" s="8" t="s">
        <v>69</v>
      </c>
      <c r="H15">
        <v>76.489999999999995</v>
      </c>
      <c r="I15">
        <v>560.88</v>
      </c>
      <c r="J15">
        <v>1.92</v>
      </c>
      <c r="K15">
        <v>0</v>
      </c>
      <c r="L15">
        <v>0.02</v>
      </c>
      <c r="M15" s="9">
        <v>85.07</v>
      </c>
    </row>
    <row r="16" spans="1:13" ht="14.65" thickBot="1" x14ac:dyDescent="0.5">
      <c r="A16" s="72"/>
      <c r="B16" s="28" t="s">
        <v>12</v>
      </c>
      <c r="C16" s="7">
        <v>224.55</v>
      </c>
      <c r="D16" s="30">
        <f>C16/$C$1</f>
        <v>0.51321022077981437</v>
      </c>
      <c r="E16" s="12">
        <f>C16/$C$2</f>
        <v>0.94535427103944769</v>
      </c>
      <c r="G16" s="8" t="s">
        <v>70</v>
      </c>
      <c r="H16">
        <v>0</v>
      </c>
      <c r="I16">
        <v>0</v>
      </c>
      <c r="J16">
        <v>0</v>
      </c>
      <c r="K16">
        <v>0</v>
      </c>
      <c r="L16">
        <v>0</v>
      </c>
      <c r="M16" s="9">
        <v>0</v>
      </c>
    </row>
    <row r="17" spans="1:13" x14ac:dyDescent="0.45">
      <c r="A17" s="72"/>
      <c r="B17" s="28" t="s">
        <v>104</v>
      </c>
      <c r="C17" s="29">
        <v>3.96</v>
      </c>
      <c r="D17" s="29"/>
      <c r="E17" s="12"/>
      <c r="G17" s="8" t="s">
        <v>71</v>
      </c>
      <c r="H17">
        <v>78.23</v>
      </c>
      <c r="I17">
        <v>565.08000000000004</v>
      </c>
      <c r="J17">
        <v>1.77</v>
      </c>
      <c r="K17">
        <v>0</v>
      </c>
      <c r="L17">
        <v>7.0000000000000007E-2</v>
      </c>
      <c r="M17" s="9">
        <v>80.94</v>
      </c>
    </row>
    <row r="18" spans="1:13" x14ac:dyDescent="0.45">
      <c r="A18" s="72"/>
      <c r="B18" s="28"/>
      <c r="C18" s="29"/>
      <c r="D18" s="29"/>
      <c r="E18" s="12"/>
      <c r="G18" s="8" t="s">
        <v>72</v>
      </c>
      <c r="H18">
        <v>79.87</v>
      </c>
      <c r="I18">
        <v>587.12</v>
      </c>
      <c r="J18">
        <v>0.31</v>
      </c>
      <c r="K18">
        <v>0</v>
      </c>
      <c r="L18">
        <v>3.07</v>
      </c>
      <c r="M18" s="9">
        <v>13.08</v>
      </c>
    </row>
    <row r="19" spans="1:13" ht="14.65" thickBot="1" x14ac:dyDescent="0.5">
      <c r="A19" s="72"/>
      <c r="B19" s="28"/>
      <c r="C19" s="29"/>
      <c r="D19" s="29"/>
      <c r="E19" s="12"/>
      <c r="G19" s="8" t="s">
        <v>73</v>
      </c>
      <c r="H19">
        <v>80.39</v>
      </c>
      <c r="I19">
        <v>587.48</v>
      </c>
      <c r="J19">
        <v>1.6</v>
      </c>
      <c r="K19">
        <v>0</v>
      </c>
      <c r="L19">
        <v>73.540000000000006</v>
      </c>
      <c r="M19" s="9">
        <v>0.38</v>
      </c>
    </row>
    <row r="20" spans="1:13" ht="14.65" thickBot="1" x14ac:dyDescent="0.5">
      <c r="A20" s="72"/>
      <c r="B20" s="31" t="s">
        <v>23</v>
      </c>
      <c r="C20" s="18">
        <v>18.82</v>
      </c>
      <c r="D20" s="32"/>
      <c r="E20" s="49"/>
      <c r="G20" s="8" t="s">
        <v>74</v>
      </c>
      <c r="H20">
        <v>76.489999999999995</v>
      </c>
      <c r="I20">
        <v>560.88</v>
      </c>
      <c r="J20">
        <v>2.5099999999999998</v>
      </c>
      <c r="K20">
        <v>0</v>
      </c>
      <c r="L20">
        <v>116.39</v>
      </c>
      <c r="M20" s="9">
        <v>0</v>
      </c>
    </row>
    <row r="21" spans="1:13" x14ac:dyDescent="0.45">
      <c r="A21" s="72" t="s">
        <v>2</v>
      </c>
      <c r="B21" s="33" t="s">
        <v>32</v>
      </c>
      <c r="C21" s="34"/>
      <c r="D21" s="35"/>
      <c r="E21" s="13"/>
      <c r="G21" s="8"/>
      <c r="M21" s="9"/>
    </row>
    <row r="22" spans="1:13" ht="14.65" customHeight="1" thickBot="1" x14ac:dyDescent="0.5">
      <c r="A22" s="72"/>
      <c r="B22" s="14" t="s">
        <v>31</v>
      </c>
      <c r="C22" s="36"/>
      <c r="D22" s="36"/>
      <c r="E22" s="50"/>
      <c r="G22" s="15" t="s">
        <v>81</v>
      </c>
      <c r="H22" s="16">
        <v>866.71</v>
      </c>
      <c r="I22" s="16">
        <v>6336.6</v>
      </c>
      <c r="J22" s="16">
        <v>18.82</v>
      </c>
      <c r="K22" s="16">
        <v>0</v>
      </c>
      <c r="L22" s="16">
        <v>642.54</v>
      </c>
      <c r="M22" s="21">
        <v>224.55</v>
      </c>
    </row>
    <row r="23" spans="1:13" x14ac:dyDescent="0.45">
      <c r="A23" s="72"/>
      <c r="B23" s="14" t="s">
        <v>21</v>
      </c>
      <c r="C23" s="53"/>
      <c r="D23" s="38"/>
      <c r="E23" s="51"/>
    </row>
    <row r="24" spans="1:13" x14ac:dyDescent="0.45">
      <c r="A24" s="72"/>
      <c r="B24" s="14" t="s">
        <v>22</v>
      </c>
      <c r="C24" s="36"/>
      <c r="D24" s="36"/>
      <c r="E24" s="51"/>
    </row>
    <row r="25" spans="1:13" x14ac:dyDescent="0.45">
      <c r="A25" s="8"/>
      <c r="B25" s="39" t="s">
        <v>24</v>
      </c>
      <c r="C25" s="40">
        <f>C8+C9+C11+C16+C20+C21+C23+C24</f>
        <v>8089.22</v>
      </c>
      <c r="D25" s="41"/>
      <c r="E25" s="22"/>
    </row>
    <row r="26" spans="1:13" x14ac:dyDescent="0.45">
      <c r="A26" s="8"/>
      <c r="E26" s="9"/>
    </row>
    <row r="27" spans="1:13" ht="15.75" x14ac:dyDescent="0.5">
      <c r="A27" s="72" t="s">
        <v>25</v>
      </c>
      <c r="B27" s="43" t="s">
        <v>14</v>
      </c>
      <c r="C27" s="44">
        <v>3748.942</v>
      </c>
      <c r="E27" s="9"/>
    </row>
    <row r="28" spans="1:13" ht="15.75" x14ac:dyDescent="0.5">
      <c r="A28" s="72"/>
      <c r="B28" s="43" t="s">
        <v>110</v>
      </c>
      <c r="C28" s="45">
        <v>-35.369999999999997</v>
      </c>
      <c r="E28" s="9"/>
    </row>
    <row r="29" spans="1:13" ht="15.75" x14ac:dyDescent="0.5">
      <c r="A29" s="72"/>
      <c r="B29" s="43" t="s">
        <v>15</v>
      </c>
      <c r="C29" s="45">
        <v>-111.41</v>
      </c>
      <c r="E29" s="52"/>
    </row>
    <row r="30" spans="1:13" ht="15.75" x14ac:dyDescent="0.45">
      <c r="A30" s="72"/>
      <c r="B30" s="43" t="s">
        <v>16</v>
      </c>
      <c r="C30" s="46">
        <f>C27+C28+C29</f>
        <v>3602.1620000000003</v>
      </c>
      <c r="E30" s="9"/>
    </row>
    <row r="31" spans="1:13" ht="15.75" x14ac:dyDescent="0.45">
      <c r="A31" s="72"/>
      <c r="B31" s="43" t="s">
        <v>17</v>
      </c>
      <c r="C31" s="47">
        <v>-1137.9929999999999</v>
      </c>
      <c r="E31" s="9"/>
    </row>
    <row r="32" spans="1:13" ht="15.75" x14ac:dyDescent="0.5">
      <c r="A32" s="72"/>
      <c r="B32" s="43" t="s">
        <v>18</v>
      </c>
      <c r="C32" s="44">
        <f>C30+C31</f>
        <v>2464.1690000000003</v>
      </c>
      <c r="E32" s="9"/>
    </row>
    <row r="33" spans="1:13" ht="15.75" x14ac:dyDescent="0.5">
      <c r="A33" s="72"/>
      <c r="B33" s="43" t="s">
        <v>19</v>
      </c>
      <c r="C33" s="45">
        <v>5625.0519999999997</v>
      </c>
      <c r="E33" s="9"/>
    </row>
    <row r="34" spans="1:13" ht="15.75" customHeight="1" x14ac:dyDescent="0.45">
      <c r="A34" s="72"/>
      <c r="B34" s="43" t="s">
        <v>20</v>
      </c>
      <c r="C34" s="46">
        <f>C32+C33</f>
        <v>8089.2209999999995</v>
      </c>
      <c r="D34" s="63"/>
      <c r="E34" s="64"/>
    </row>
    <row r="35" spans="1:13" x14ac:dyDescent="0.45">
      <c r="A35" s="8"/>
      <c r="D35" s="68"/>
      <c r="E35" s="69"/>
      <c r="F35" s="5"/>
    </row>
    <row r="36" spans="1:13" ht="14.65" thickBot="1" x14ac:dyDescent="0.5">
      <c r="A36" s="15"/>
      <c r="B36" s="16"/>
      <c r="C36" s="16"/>
      <c r="D36" s="70"/>
      <c r="E36" s="71"/>
      <c r="F36" s="5"/>
    </row>
    <row r="37" spans="1:13" x14ac:dyDescent="0.45">
      <c r="D37" s="23"/>
      <c r="E37" s="23"/>
    </row>
    <row r="38" spans="1:13" x14ac:dyDescent="0.45">
      <c r="D38" s="23"/>
      <c r="E38" s="23"/>
    </row>
    <row r="39" spans="1:13" x14ac:dyDescent="0.45">
      <c r="A39" s="67" t="s">
        <v>83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</row>
    <row r="40" spans="1:13" ht="14.65" thickBot="1" x14ac:dyDescent="0.5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spans="1:13" x14ac:dyDescent="0.45">
      <c r="A41" s="55" t="s">
        <v>101</v>
      </c>
      <c r="B41" s="56"/>
      <c r="C41" s="56"/>
      <c r="D41" s="56"/>
      <c r="E41" s="57"/>
      <c r="G41" s="55" t="s">
        <v>101</v>
      </c>
      <c r="H41" s="56"/>
      <c r="I41" s="56"/>
      <c r="J41" s="56"/>
      <c r="K41" s="56"/>
      <c r="L41" s="56"/>
      <c r="M41" s="57"/>
    </row>
    <row r="42" spans="1:13" ht="14.65" thickBot="1" x14ac:dyDescent="0.5">
      <c r="A42" s="62" t="s">
        <v>6</v>
      </c>
      <c r="B42" s="60"/>
      <c r="C42" s="60"/>
      <c r="D42" s="60"/>
      <c r="E42" s="61"/>
      <c r="G42" s="62" t="s">
        <v>82</v>
      </c>
      <c r="H42" s="60"/>
      <c r="I42" s="60"/>
      <c r="J42" s="60"/>
      <c r="K42" s="60"/>
      <c r="L42" s="60"/>
      <c r="M42" s="61"/>
    </row>
    <row r="43" spans="1:13" ht="14.65" thickBot="1" x14ac:dyDescent="0.5">
      <c r="A43" s="72" t="s">
        <v>28</v>
      </c>
      <c r="B43" s="24" t="s">
        <v>7</v>
      </c>
      <c r="C43" s="54">
        <v>6336.6</v>
      </c>
      <c r="E43" s="9"/>
      <c r="G43" s="8"/>
      <c r="H43" s="3" t="s">
        <v>76</v>
      </c>
      <c r="I43" s="3" t="s">
        <v>75</v>
      </c>
      <c r="J43" s="3" t="s">
        <v>77</v>
      </c>
      <c r="K43" s="3" t="s">
        <v>78</v>
      </c>
      <c r="L43" s="3" t="s">
        <v>79</v>
      </c>
      <c r="M43" s="10" t="s">
        <v>80</v>
      </c>
    </row>
    <row r="44" spans="1:13" ht="14.65" thickBot="1" x14ac:dyDescent="0.5">
      <c r="A44" s="72"/>
      <c r="B44" s="24" t="s">
        <v>8</v>
      </c>
      <c r="C44" s="54">
        <v>866.71</v>
      </c>
      <c r="D44" s="3" t="s">
        <v>9</v>
      </c>
      <c r="E44" s="10" t="s">
        <v>10</v>
      </c>
      <c r="G44" s="8" t="s">
        <v>63</v>
      </c>
      <c r="H44">
        <v>79.87</v>
      </c>
      <c r="I44">
        <v>587.12</v>
      </c>
      <c r="J44">
        <v>2.89</v>
      </c>
      <c r="K44">
        <v>0</v>
      </c>
      <c r="L44">
        <v>131.11000000000001</v>
      </c>
      <c r="M44" s="9">
        <v>0</v>
      </c>
    </row>
    <row r="45" spans="1:13" ht="14.65" thickBot="1" x14ac:dyDescent="0.5">
      <c r="A45" s="72" t="s">
        <v>3</v>
      </c>
      <c r="B45" s="25" t="s">
        <v>29</v>
      </c>
      <c r="C45" s="27">
        <f>'BAU Results'!C46</f>
        <v>1890.76</v>
      </c>
      <c r="D45" s="27"/>
      <c r="E45" s="11"/>
      <c r="G45" s="8" t="s">
        <v>64</v>
      </c>
      <c r="H45">
        <v>73.11</v>
      </c>
      <c r="I45">
        <v>534.64</v>
      </c>
      <c r="J45">
        <v>2.09</v>
      </c>
      <c r="K45">
        <v>0</v>
      </c>
      <c r="L45">
        <v>97.32</v>
      </c>
      <c r="M45" s="9">
        <v>0</v>
      </c>
    </row>
    <row r="46" spans="1:13" ht="14.65" thickBot="1" x14ac:dyDescent="0.5">
      <c r="A46" s="72"/>
      <c r="B46" s="25" t="s">
        <v>11</v>
      </c>
      <c r="C46" s="6">
        <v>417.95</v>
      </c>
      <c r="D46" s="27">
        <f>C46/$C$1</f>
        <v>0.95522695067879504</v>
      </c>
      <c r="E46" s="11">
        <f>C46/$C$2</f>
        <v>1.7595672125626236</v>
      </c>
      <c r="G46" s="8" t="s">
        <v>65</v>
      </c>
      <c r="H46">
        <v>85.5</v>
      </c>
      <c r="I46">
        <v>617.91999999999996</v>
      </c>
      <c r="J46">
        <v>1.05</v>
      </c>
      <c r="K46">
        <v>0</v>
      </c>
      <c r="L46">
        <v>47.88</v>
      </c>
      <c r="M46" s="9">
        <v>0.66</v>
      </c>
    </row>
    <row r="47" spans="1:13" x14ac:dyDescent="0.45">
      <c r="A47" s="72"/>
      <c r="B47" s="25" t="s">
        <v>103</v>
      </c>
      <c r="C47" s="26">
        <v>108.59</v>
      </c>
      <c r="D47" s="27"/>
      <c r="E47" s="11"/>
      <c r="G47" s="8" t="s">
        <v>66</v>
      </c>
      <c r="H47">
        <v>73.11</v>
      </c>
      <c r="I47">
        <v>534.64</v>
      </c>
      <c r="J47">
        <v>0.65</v>
      </c>
      <c r="K47">
        <v>0</v>
      </c>
      <c r="L47">
        <v>19.37</v>
      </c>
      <c r="M47" s="9">
        <v>12.54</v>
      </c>
    </row>
    <row r="48" spans="1:13" x14ac:dyDescent="0.45">
      <c r="A48" s="72"/>
      <c r="B48" s="25"/>
      <c r="C48" s="26"/>
      <c r="D48" s="27"/>
      <c r="E48" s="11"/>
      <c r="G48" s="8" t="s">
        <v>67</v>
      </c>
      <c r="H48">
        <v>83.76</v>
      </c>
      <c r="I48">
        <v>613.72</v>
      </c>
      <c r="J48">
        <v>0.85</v>
      </c>
      <c r="K48">
        <v>0</v>
      </c>
      <c r="L48">
        <v>1.76</v>
      </c>
      <c r="M48" s="9">
        <v>37.14</v>
      </c>
    </row>
    <row r="49" spans="1:13" x14ac:dyDescent="0.45">
      <c r="A49" s="72"/>
      <c r="B49" s="25"/>
      <c r="C49" s="26"/>
      <c r="D49" s="27"/>
      <c r="E49" s="11"/>
      <c r="G49" s="8" t="s">
        <v>68</v>
      </c>
      <c r="H49">
        <v>79.87</v>
      </c>
      <c r="I49">
        <v>587.12</v>
      </c>
      <c r="J49">
        <v>1.79</v>
      </c>
      <c r="K49">
        <v>0</v>
      </c>
      <c r="L49">
        <v>0.05</v>
      </c>
      <c r="M49" s="9">
        <v>80.989999999999995</v>
      </c>
    </row>
    <row r="50" spans="1:13" ht="14.65" thickBot="1" x14ac:dyDescent="0.5">
      <c r="A50" s="72"/>
      <c r="B50" s="28" t="s">
        <v>30</v>
      </c>
      <c r="C50" s="30">
        <f>'BAU Results'!C51</f>
        <v>2059.9</v>
      </c>
      <c r="D50" s="30"/>
      <c r="E50" s="12"/>
      <c r="G50" s="8" t="s">
        <v>69</v>
      </c>
      <c r="H50">
        <v>76.489999999999995</v>
      </c>
      <c r="I50">
        <v>560.88</v>
      </c>
      <c r="J50">
        <v>3.59</v>
      </c>
      <c r="K50">
        <v>0</v>
      </c>
      <c r="L50">
        <v>0</v>
      </c>
      <c r="M50" s="9">
        <v>153.13</v>
      </c>
    </row>
    <row r="51" spans="1:13" ht="14.65" thickBot="1" x14ac:dyDescent="0.5">
      <c r="A51" s="72"/>
      <c r="B51" s="28" t="s">
        <v>12</v>
      </c>
      <c r="C51" s="7">
        <v>476.47</v>
      </c>
      <c r="D51" s="30">
        <f>C51/$C$1</f>
        <v>1.088974722311103</v>
      </c>
      <c r="E51" s="12">
        <f>C51/$C$2</f>
        <v>2.00593609228308</v>
      </c>
      <c r="G51" s="8" t="s">
        <v>70</v>
      </c>
      <c r="H51">
        <v>0</v>
      </c>
      <c r="I51">
        <v>0</v>
      </c>
      <c r="J51">
        <v>0</v>
      </c>
      <c r="K51">
        <v>0</v>
      </c>
      <c r="L51">
        <v>0</v>
      </c>
      <c r="M51" s="9">
        <v>0</v>
      </c>
    </row>
    <row r="52" spans="1:13" x14ac:dyDescent="0.45">
      <c r="A52" s="72"/>
      <c r="B52" s="28" t="s">
        <v>104</v>
      </c>
      <c r="C52" s="29">
        <v>30.4</v>
      </c>
      <c r="D52" s="29"/>
      <c r="E52" s="12"/>
      <c r="G52" s="8" t="s">
        <v>71</v>
      </c>
      <c r="H52">
        <v>78.23</v>
      </c>
      <c r="I52">
        <v>565.08000000000004</v>
      </c>
      <c r="J52">
        <v>3.33</v>
      </c>
      <c r="K52">
        <v>0</v>
      </c>
      <c r="L52">
        <v>0</v>
      </c>
      <c r="M52" s="9">
        <v>146.72999999999999</v>
      </c>
    </row>
    <row r="53" spans="1:13" x14ac:dyDescent="0.45">
      <c r="A53" s="72"/>
      <c r="B53" s="28"/>
      <c r="C53" s="29"/>
      <c r="D53" s="29"/>
      <c r="E53" s="12"/>
      <c r="G53" s="8" t="s">
        <v>72</v>
      </c>
      <c r="H53">
        <v>79.87</v>
      </c>
      <c r="I53">
        <v>587.12</v>
      </c>
      <c r="J53">
        <v>0.92</v>
      </c>
      <c r="K53">
        <v>0</v>
      </c>
      <c r="L53">
        <v>0.33</v>
      </c>
      <c r="M53" s="9">
        <v>42.96</v>
      </c>
    </row>
    <row r="54" spans="1:13" ht="14.65" thickBot="1" x14ac:dyDescent="0.5">
      <c r="A54" s="72"/>
      <c r="B54" s="28"/>
      <c r="C54" s="29"/>
      <c r="D54" s="29"/>
      <c r="E54" s="12"/>
      <c r="G54" s="8" t="s">
        <v>73</v>
      </c>
      <c r="H54">
        <v>80.39</v>
      </c>
      <c r="I54">
        <v>587.48</v>
      </c>
      <c r="J54">
        <v>0.97</v>
      </c>
      <c r="K54">
        <v>0</v>
      </c>
      <c r="L54">
        <v>41.78</v>
      </c>
      <c r="M54" s="9">
        <v>2.31</v>
      </c>
    </row>
    <row r="55" spans="1:13" ht="14.65" thickBot="1" x14ac:dyDescent="0.5">
      <c r="A55" s="72"/>
      <c r="B55" s="31" t="s">
        <v>23</v>
      </c>
      <c r="C55" s="18">
        <v>19.829999999999998</v>
      </c>
      <c r="D55" s="32"/>
      <c r="E55" s="49"/>
      <c r="G55" s="8" t="s">
        <v>74</v>
      </c>
      <c r="H55">
        <v>76.489999999999995</v>
      </c>
      <c r="I55">
        <v>560.88</v>
      </c>
      <c r="J55">
        <v>1.7</v>
      </c>
      <c r="K55">
        <v>0</v>
      </c>
      <c r="L55">
        <v>78.34</v>
      </c>
      <c r="M55" s="9">
        <v>0</v>
      </c>
    </row>
    <row r="56" spans="1:13" x14ac:dyDescent="0.45">
      <c r="A56" s="72" t="s">
        <v>2</v>
      </c>
      <c r="B56" s="33" t="s">
        <v>32</v>
      </c>
      <c r="C56" s="34"/>
      <c r="D56" s="35"/>
      <c r="E56" s="13"/>
      <c r="G56" s="8"/>
      <c r="M56" s="9"/>
    </row>
    <row r="57" spans="1:13" ht="14.65" thickBot="1" x14ac:dyDescent="0.5">
      <c r="A57" s="72"/>
      <c r="B57" s="14" t="s">
        <v>31</v>
      </c>
      <c r="C57" s="36"/>
      <c r="D57" s="36"/>
      <c r="E57" s="50"/>
      <c r="G57" s="15" t="s">
        <v>81</v>
      </c>
      <c r="H57" s="16">
        <v>866.71</v>
      </c>
      <c r="I57" s="16">
        <v>6336.6</v>
      </c>
      <c r="J57" s="16">
        <v>19.829999999999998</v>
      </c>
      <c r="K57" s="16">
        <v>0</v>
      </c>
      <c r="L57" s="16">
        <v>417.95</v>
      </c>
      <c r="M57" s="21">
        <v>476.47</v>
      </c>
    </row>
    <row r="58" spans="1:13" x14ac:dyDescent="0.45">
      <c r="A58" s="72"/>
      <c r="B58" s="14" t="s">
        <v>21</v>
      </c>
      <c r="C58" s="53"/>
      <c r="D58" s="38"/>
      <c r="E58" s="51"/>
    </row>
    <row r="59" spans="1:13" x14ac:dyDescent="0.45">
      <c r="A59" s="72"/>
      <c r="B59" s="14" t="s">
        <v>22</v>
      </c>
      <c r="C59" s="36"/>
      <c r="D59" s="36"/>
      <c r="E59" s="51"/>
    </row>
    <row r="60" spans="1:13" x14ac:dyDescent="0.45">
      <c r="A60" s="8"/>
      <c r="B60" s="39" t="s">
        <v>24</v>
      </c>
      <c r="C60" s="40">
        <f>C43+C44+C46+C51+C55+C56+C58+C59</f>
        <v>8117.56</v>
      </c>
      <c r="D60" s="41"/>
      <c r="E60" s="22"/>
    </row>
    <row r="61" spans="1:13" x14ac:dyDescent="0.45">
      <c r="A61" s="8"/>
      <c r="E61" s="9"/>
    </row>
    <row r="62" spans="1:13" ht="15.75" x14ac:dyDescent="0.5">
      <c r="A62" s="72" t="s">
        <v>25</v>
      </c>
      <c r="B62" s="43" t="s">
        <v>14</v>
      </c>
      <c r="C62" s="44">
        <v>3762.5709999999999</v>
      </c>
      <c r="E62" s="9"/>
    </row>
    <row r="63" spans="1:13" ht="15.75" x14ac:dyDescent="0.5">
      <c r="A63" s="72"/>
      <c r="B63" s="43" t="s">
        <v>110</v>
      </c>
      <c r="C63" s="45">
        <v>-36.520000000000003</v>
      </c>
      <c r="E63" s="9"/>
    </row>
    <row r="64" spans="1:13" ht="15.75" x14ac:dyDescent="0.5">
      <c r="A64" s="72"/>
      <c r="B64" s="43" t="s">
        <v>15</v>
      </c>
      <c r="C64" s="45">
        <v>-111.78</v>
      </c>
      <c r="E64" s="52"/>
    </row>
    <row r="65" spans="1:13" ht="15.75" x14ac:dyDescent="0.45">
      <c r="A65" s="72"/>
      <c r="B65" s="43" t="s">
        <v>16</v>
      </c>
      <c r="C65" s="46">
        <f>C62+C63+C64</f>
        <v>3614.2709999999997</v>
      </c>
      <c r="E65" s="9"/>
    </row>
    <row r="66" spans="1:13" ht="15.75" x14ac:dyDescent="0.45">
      <c r="A66" s="72"/>
      <c r="B66" s="43" t="s">
        <v>17</v>
      </c>
      <c r="C66" s="47">
        <v>-1152.028</v>
      </c>
      <c r="E66" s="9"/>
    </row>
    <row r="67" spans="1:13" ht="15.75" x14ac:dyDescent="0.5">
      <c r="A67" s="72"/>
      <c r="B67" s="43" t="s">
        <v>18</v>
      </c>
      <c r="C67" s="44">
        <f>C65+C66</f>
        <v>2462.2429999999995</v>
      </c>
      <c r="E67" s="9"/>
    </row>
    <row r="68" spans="1:13" ht="15.75" x14ac:dyDescent="0.5">
      <c r="A68" s="72"/>
      <c r="B68" s="43" t="s">
        <v>19</v>
      </c>
      <c r="C68" s="45">
        <v>5655.31</v>
      </c>
      <c r="E68" s="9"/>
    </row>
    <row r="69" spans="1:13" ht="15.75" customHeight="1" x14ac:dyDescent="0.45">
      <c r="A69" s="72"/>
      <c r="B69" s="43" t="s">
        <v>20</v>
      </c>
      <c r="C69" s="46">
        <f>C67+C68</f>
        <v>8117.5529999999999</v>
      </c>
      <c r="D69" s="63"/>
      <c r="E69" s="64"/>
    </row>
    <row r="70" spans="1:13" x14ac:dyDescent="0.45">
      <c r="A70" s="8"/>
      <c r="D70" s="63"/>
      <c r="E70" s="64"/>
    </row>
    <row r="71" spans="1:13" x14ac:dyDescent="0.45">
      <c r="A71" s="8"/>
      <c r="D71" s="63"/>
      <c r="E71" s="64"/>
    </row>
    <row r="72" spans="1:13" ht="14.65" thickBot="1" x14ac:dyDescent="0.5">
      <c r="A72" s="15"/>
      <c r="B72" s="16"/>
      <c r="C72" s="16"/>
      <c r="D72" s="65"/>
      <c r="E72" s="66"/>
      <c r="F72" s="5"/>
    </row>
    <row r="74" spans="1:13" x14ac:dyDescent="0.45">
      <c r="A74" s="67" t="s">
        <v>84</v>
      </c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</row>
    <row r="75" spans="1:13" ht="14.65" thickBot="1" x14ac:dyDescent="0.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</row>
    <row r="76" spans="1:13" x14ac:dyDescent="0.45">
      <c r="A76" s="55" t="s">
        <v>101</v>
      </c>
      <c r="B76" s="56"/>
      <c r="C76" s="56"/>
      <c r="D76" s="56"/>
      <c r="E76" s="57"/>
      <c r="G76" s="55" t="s">
        <v>101</v>
      </c>
      <c r="H76" s="56"/>
      <c r="I76" s="56"/>
      <c r="J76" s="56"/>
      <c r="K76" s="56"/>
      <c r="L76" s="56"/>
      <c r="M76" s="57"/>
    </row>
    <row r="77" spans="1:13" ht="14.65" thickBot="1" x14ac:dyDescent="0.5">
      <c r="A77" s="62" t="s">
        <v>6</v>
      </c>
      <c r="B77" s="60"/>
      <c r="C77" s="60"/>
      <c r="D77" s="60"/>
      <c r="E77" s="61"/>
      <c r="G77" s="62" t="s">
        <v>82</v>
      </c>
      <c r="H77" s="60"/>
      <c r="I77" s="60"/>
      <c r="J77" s="60"/>
      <c r="K77" s="60"/>
      <c r="L77" s="60"/>
      <c r="M77" s="61"/>
    </row>
    <row r="78" spans="1:13" ht="14.65" thickBot="1" x14ac:dyDescent="0.5">
      <c r="A78" s="72" t="s">
        <v>28</v>
      </c>
      <c r="B78" s="24" t="s">
        <v>7</v>
      </c>
      <c r="C78" s="54">
        <v>6336.6</v>
      </c>
      <c r="E78" s="9"/>
      <c r="G78" s="8"/>
      <c r="H78" s="3" t="s">
        <v>76</v>
      </c>
      <c r="I78" s="3" t="s">
        <v>75</v>
      </c>
      <c r="J78" s="3" t="s">
        <v>77</v>
      </c>
      <c r="K78" s="3" t="s">
        <v>78</v>
      </c>
      <c r="L78" s="3" t="s">
        <v>79</v>
      </c>
      <c r="M78" s="10" t="s">
        <v>80</v>
      </c>
    </row>
    <row r="79" spans="1:13" ht="14.65" thickBot="1" x14ac:dyDescent="0.5">
      <c r="A79" s="72"/>
      <c r="B79" s="24" t="s">
        <v>8</v>
      </c>
      <c r="C79" s="54">
        <v>866.71</v>
      </c>
      <c r="D79" s="3" t="s">
        <v>9</v>
      </c>
      <c r="E79" s="10" t="s">
        <v>10</v>
      </c>
      <c r="G79" s="8" t="s">
        <v>63</v>
      </c>
      <c r="H79">
        <v>79.87</v>
      </c>
      <c r="I79">
        <v>587.12</v>
      </c>
      <c r="J79">
        <v>2.73</v>
      </c>
      <c r="K79">
        <v>0</v>
      </c>
      <c r="L79">
        <v>123.88</v>
      </c>
      <c r="M79" s="9">
        <v>0</v>
      </c>
    </row>
    <row r="80" spans="1:13" ht="14.65" thickBot="1" x14ac:dyDescent="0.5">
      <c r="A80" s="72" t="s">
        <v>3</v>
      </c>
      <c r="B80" s="25" t="s">
        <v>29</v>
      </c>
      <c r="C80" s="27">
        <f>'BAU Results'!C81</f>
        <v>1776.24</v>
      </c>
      <c r="D80" s="27"/>
      <c r="E80" s="11"/>
      <c r="G80" s="8" t="s">
        <v>64</v>
      </c>
      <c r="H80">
        <v>73.11</v>
      </c>
      <c r="I80">
        <v>534.64</v>
      </c>
      <c r="J80">
        <v>1.97</v>
      </c>
      <c r="K80">
        <v>0</v>
      </c>
      <c r="L80">
        <v>91.78</v>
      </c>
      <c r="M80" s="9">
        <v>0</v>
      </c>
    </row>
    <row r="81" spans="1:13" ht="14.65" thickBot="1" x14ac:dyDescent="0.5">
      <c r="A81" s="72"/>
      <c r="B81" s="25" t="s">
        <v>11</v>
      </c>
      <c r="C81" s="6">
        <v>392.16</v>
      </c>
      <c r="D81" s="27">
        <f>C81/$C$1</f>
        <v>0.89628376834118029</v>
      </c>
      <c r="E81" s="11">
        <f>C81/$C$2</f>
        <v>1.6509914537111103</v>
      </c>
      <c r="G81" s="8" t="s">
        <v>65</v>
      </c>
      <c r="H81">
        <v>85.5</v>
      </c>
      <c r="I81">
        <v>617.91999999999996</v>
      </c>
      <c r="J81">
        <v>1.04</v>
      </c>
      <c r="K81">
        <v>0</v>
      </c>
      <c r="L81">
        <v>47.04</v>
      </c>
      <c r="M81" s="9">
        <v>0.65</v>
      </c>
    </row>
    <row r="82" spans="1:13" x14ac:dyDescent="0.45">
      <c r="A82" s="72"/>
      <c r="B82" s="25" t="s">
        <v>103</v>
      </c>
      <c r="C82" s="26">
        <v>100.97</v>
      </c>
      <c r="D82" s="27"/>
      <c r="E82" s="11"/>
      <c r="G82" s="8" t="s">
        <v>66</v>
      </c>
      <c r="H82">
        <v>73.11</v>
      </c>
      <c r="I82">
        <v>534.64</v>
      </c>
      <c r="J82">
        <v>0.63</v>
      </c>
      <c r="K82">
        <v>0</v>
      </c>
      <c r="L82">
        <v>18.149999999999999</v>
      </c>
      <c r="M82" s="9">
        <v>13.07</v>
      </c>
    </row>
    <row r="83" spans="1:13" x14ac:dyDescent="0.45">
      <c r="A83" s="72"/>
      <c r="B83" s="25"/>
      <c r="C83" s="26"/>
      <c r="D83" s="27"/>
      <c r="E83" s="11"/>
      <c r="G83" s="8" t="s">
        <v>67</v>
      </c>
      <c r="H83">
        <v>83.76</v>
      </c>
      <c r="I83">
        <v>613.72</v>
      </c>
      <c r="J83">
        <v>0.95</v>
      </c>
      <c r="K83">
        <v>0</v>
      </c>
      <c r="L83">
        <v>1.27</v>
      </c>
      <c r="M83" s="9">
        <v>41.65</v>
      </c>
    </row>
    <row r="84" spans="1:13" x14ac:dyDescent="0.45">
      <c r="A84" s="72"/>
      <c r="B84" s="25"/>
      <c r="C84" s="26"/>
      <c r="D84" s="27"/>
      <c r="E84" s="11"/>
      <c r="G84" s="8" t="s">
        <v>68</v>
      </c>
      <c r="H84">
        <v>79.87</v>
      </c>
      <c r="I84">
        <v>587.12</v>
      </c>
      <c r="J84">
        <v>1.98</v>
      </c>
      <c r="K84">
        <v>0</v>
      </c>
      <c r="L84">
        <v>0.04</v>
      </c>
      <c r="M84" s="9">
        <v>88.83</v>
      </c>
    </row>
    <row r="85" spans="1:13" ht="14.65" thickBot="1" x14ac:dyDescent="0.5">
      <c r="A85" s="72"/>
      <c r="B85" s="28" t="s">
        <v>30</v>
      </c>
      <c r="C85" s="30">
        <f>'BAU Results'!C86</f>
        <v>2196.3000000000002</v>
      </c>
      <c r="D85" s="30"/>
      <c r="E85" s="12"/>
      <c r="G85" s="8" t="s">
        <v>69</v>
      </c>
      <c r="H85">
        <v>76.489999999999995</v>
      </c>
      <c r="I85">
        <v>560.88</v>
      </c>
      <c r="J85">
        <v>3.75</v>
      </c>
      <c r="K85">
        <v>0</v>
      </c>
      <c r="L85">
        <v>0</v>
      </c>
      <c r="M85" s="9">
        <v>160.01</v>
      </c>
    </row>
    <row r="86" spans="1:13" ht="14.65" thickBot="1" x14ac:dyDescent="0.5">
      <c r="A86" s="72"/>
      <c r="B86" s="28" t="s">
        <v>12</v>
      </c>
      <c r="C86" s="7">
        <v>507.86</v>
      </c>
      <c r="D86" s="30">
        <f>C86/$C$1</f>
        <v>1.1607167344699914</v>
      </c>
      <c r="E86" s="12">
        <f>C86/$C$2</f>
        <v>2.1380878204858336</v>
      </c>
      <c r="G86" s="8" t="s">
        <v>70</v>
      </c>
      <c r="H86">
        <v>0</v>
      </c>
      <c r="I86">
        <v>0</v>
      </c>
      <c r="J86">
        <v>0</v>
      </c>
      <c r="K86">
        <v>0</v>
      </c>
      <c r="L86">
        <v>0</v>
      </c>
      <c r="M86" s="9">
        <v>0</v>
      </c>
    </row>
    <row r="87" spans="1:13" x14ac:dyDescent="0.45">
      <c r="A87" s="72"/>
      <c r="B87" s="28" t="s">
        <v>104</v>
      </c>
      <c r="C87" s="29">
        <v>35.96</v>
      </c>
      <c r="D87" s="29"/>
      <c r="E87" s="12"/>
      <c r="G87" s="8" t="s">
        <v>71</v>
      </c>
      <c r="H87">
        <v>78.23</v>
      </c>
      <c r="I87">
        <v>565.08000000000004</v>
      </c>
      <c r="J87">
        <v>3.51</v>
      </c>
      <c r="K87">
        <v>0</v>
      </c>
      <c r="L87">
        <v>0</v>
      </c>
      <c r="M87" s="9">
        <v>154.02000000000001</v>
      </c>
    </row>
    <row r="88" spans="1:13" x14ac:dyDescent="0.45">
      <c r="A88" s="72"/>
      <c r="B88" s="28"/>
      <c r="C88" s="29"/>
      <c r="D88" s="29"/>
      <c r="E88" s="12"/>
      <c r="G88" s="8" t="s">
        <v>72</v>
      </c>
      <c r="H88">
        <v>79.87</v>
      </c>
      <c r="I88">
        <v>587.12</v>
      </c>
      <c r="J88">
        <v>1.01</v>
      </c>
      <c r="K88">
        <v>0</v>
      </c>
      <c r="L88">
        <v>0.26</v>
      </c>
      <c r="M88" s="9">
        <v>46.93</v>
      </c>
    </row>
    <row r="89" spans="1:13" ht="14.65" thickBot="1" x14ac:dyDescent="0.5">
      <c r="A89" s="72"/>
      <c r="B89" s="28"/>
      <c r="C89" s="29"/>
      <c r="D89" s="29"/>
      <c r="E89" s="12"/>
      <c r="G89" s="8" t="s">
        <v>73</v>
      </c>
      <c r="H89">
        <v>80.39</v>
      </c>
      <c r="I89">
        <v>587.48</v>
      </c>
      <c r="J89">
        <v>0.9</v>
      </c>
      <c r="K89">
        <v>0</v>
      </c>
      <c r="L89">
        <v>38.42</v>
      </c>
      <c r="M89" s="9">
        <v>2.71</v>
      </c>
    </row>
    <row r="90" spans="1:13" ht="14.65" thickBot="1" x14ac:dyDescent="0.5">
      <c r="A90" s="72"/>
      <c r="B90" s="31" t="s">
        <v>23</v>
      </c>
      <c r="C90" s="18">
        <v>20.02</v>
      </c>
      <c r="D90" s="32"/>
      <c r="E90" s="49"/>
      <c r="G90" s="8" t="s">
        <v>74</v>
      </c>
      <c r="H90">
        <v>76.489999999999995</v>
      </c>
      <c r="I90">
        <v>560.88</v>
      </c>
      <c r="J90">
        <v>1.54</v>
      </c>
      <c r="K90">
        <v>0</v>
      </c>
      <c r="L90">
        <v>71.319999999999993</v>
      </c>
      <c r="M90" s="9">
        <v>0</v>
      </c>
    </row>
    <row r="91" spans="1:13" x14ac:dyDescent="0.45">
      <c r="A91" s="72" t="s">
        <v>2</v>
      </c>
      <c r="B91" s="33" t="s">
        <v>32</v>
      </c>
      <c r="C91" s="34"/>
      <c r="D91" s="35"/>
      <c r="E91" s="13"/>
      <c r="G91" s="8"/>
      <c r="M91" s="9"/>
    </row>
    <row r="92" spans="1:13" ht="14.65" thickBot="1" x14ac:dyDescent="0.5">
      <c r="A92" s="72"/>
      <c r="B92" s="14" t="s">
        <v>31</v>
      </c>
      <c r="C92" s="36"/>
      <c r="D92" s="36"/>
      <c r="E92" s="50"/>
      <c r="G92" s="15" t="s">
        <v>81</v>
      </c>
      <c r="H92" s="16">
        <v>866.71</v>
      </c>
      <c r="I92" s="16">
        <v>6336.6</v>
      </c>
      <c r="J92" s="16">
        <v>20.02</v>
      </c>
      <c r="K92" s="16">
        <v>0</v>
      </c>
      <c r="L92" s="16">
        <v>392.16</v>
      </c>
      <c r="M92" s="21">
        <v>507.86</v>
      </c>
    </row>
    <row r="93" spans="1:13" x14ac:dyDescent="0.45">
      <c r="A93" s="72"/>
      <c r="B93" s="14" t="s">
        <v>21</v>
      </c>
      <c r="C93" s="53"/>
      <c r="D93" s="38"/>
      <c r="E93" s="51"/>
    </row>
    <row r="94" spans="1:13" x14ac:dyDescent="0.45">
      <c r="A94" s="72"/>
      <c r="B94" s="14" t="s">
        <v>22</v>
      </c>
      <c r="C94" s="36"/>
      <c r="D94" s="36"/>
      <c r="E94" s="51"/>
    </row>
    <row r="95" spans="1:13" x14ac:dyDescent="0.45">
      <c r="A95" s="8"/>
      <c r="B95" s="39" t="s">
        <v>24</v>
      </c>
      <c r="C95" s="40">
        <f>C78+C79+C81+C86+C90+C91+C93+C94</f>
        <v>8123.35</v>
      </c>
      <c r="D95" s="41"/>
      <c r="E95" s="22"/>
    </row>
    <row r="96" spans="1:13" x14ac:dyDescent="0.45">
      <c r="A96" s="8"/>
      <c r="E96" s="9"/>
    </row>
    <row r="97" spans="1:13" ht="15.75" x14ac:dyDescent="0.5">
      <c r="A97" s="72" t="s">
        <v>25</v>
      </c>
      <c r="B97" s="43" t="s">
        <v>14</v>
      </c>
      <c r="C97" s="44">
        <v>3758.0169999999998</v>
      </c>
      <c r="E97" s="9"/>
    </row>
    <row r="98" spans="1:13" ht="15.75" x14ac:dyDescent="0.5">
      <c r="A98" s="72"/>
      <c r="B98" s="43" t="s">
        <v>110</v>
      </c>
      <c r="C98" s="45">
        <v>-36.51</v>
      </c>
      <c r="E98" s="9"/>
    </row>
    <row r="99" spans="1:13" ht="15.75" x14ac:dyDescent="0.5">
      <c r="A99" s="72"/>
      <c r="B99" s="43" t="s">
        <v>15</v>
      </c>
      <c r="C99" s="45">
        <v>-111.65</v>
      </c>
      <c r="E99" s="52"/>
    </row>
    <row r="100" spans="1:13" ht="15.75" x14ac:dyDescent="0.45">
      <c r="A100" s="72"/>
      <c r="B100" s="43" t="s">
        <v>16</v>
      </c>
      <c r="C100" s="46">
        <f>C97+C98+C99</f>
        <v>3609.8569999999995</v>
      </c>
      <c r="E100" s="9"/>
    </row>
    <row r="101" spans="1:13" ht="15.75" x14ac:dyDescent="0.45">
      <c r="A101" s="72"/>
      <c r="B101" s="43" t="s">
        <v>17</v>
      </c>
      <c r="C101" s="47">
        <v>-1149.3420000000001</v>
      </c>
      <c r="E101" s="9"/>
    </row>
    <row r="102" spans="1:13" ht="15.75" x14ac:dyDescent="0.5">
      <c r="A102" s="72"/>
      <c r="B102" s="43" t="s">
        <v>18</v>
      </c>
      <c r="C102" s="44">
        <f>C100+C101</f>
        <v>2460.5149999999994</v>
      </c>
      <c r="E102" s="9"/>
    </row>
    <row r="103" spans="1:13" ht="15.75" x14ac:dyDescent="0.5">
      <c r="A103" s="72"/>
      <c r="B103" s="43" t="s">
        <v>19</v>
      </c>
      <c r="C103" s="45">
        <v>5662.8249999999998</v>
      </c>
      <c r="E103" s="9"/>
    </row>
    <row r="104" spans="1:13" ht="15.75" customHeight="1" x14ac:dyDescent="0.45">
      <c r="A104" s="72"/>
      <c r="B104" s="43" t="s">
        <v>20</v>
      </c>
      <c r="C104" s="46">
        <f>C102+C103</f>
        <v>8123.3399999999992</v>
      </c>
      <c r="D104" s="63"/>
      <c r="E104" s="64"/>
    </row>
    <row r="105" spans="1:13" x14ac:dyDescent="0.45">
      <c r="A105" s="8"/>
      <c r="D105" s="63"/>
      <c r="E105" s="64"/>
    </row>
    <row r="106" spans="1:13" x14ac:dyDescent="0.45">
      <c r="A106" s="8"/>
      <c r="D106" s="63"/>
      <c r="E106" s="64"/>
    </row>
    <row r="107" spans="1:13" ht="14.65" thickBot="1" x14ac:dyDescent="0.5">
      <c r="A107" s="15"/>
      <c r="B107" s="16"/>
      <c r="C107" s="16"/>
      <c r="D107" s="65"/>
      <c r="E107" s="66"/>
      <c r="F107" s="5"/>
    </row>
    <row r="109" spans="1:13" x14ac:dyDescent="0.45">
      <c r="A109" s="67" t="s">
        <v>85</v>
      </c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</row>
    <row r="110" spans="1:13" ht="14.65" thickBot="1" x14ac:dyDescent="0.5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</row>
    <row r="111" spans="1:13" x14ac:dyDescent="0.45">
      <c r="A111" s="55" t="s">
        <v>101</v>
      </c>
      <c r="B111" s="56"/>
      <c r="C111" s="56"/>
      <c r="D111" s="56"/>
      <c r="E111" s="57"/>
      <c r="G111" s="55" t="s">
        <v>101</v>
      </c>
      <c r="H111" s="56"/>
      <c r="I111" s="56"/>
      <c r="J111" s="56"/>
      <c r="K111" s="56"/>
      <c r="L111" s="56"/>
      <c r="M111" s="57"/>
    </row>
    <row r="112" spans="1:13" ht="14.65" thickBot="1" x14ac:dyDescent="0.5">
      <c r="A112" s="62" t="s">
        <v>6</v>
      </c>
      <c r="B112" s="60"/>
      <c r="C112" s="60"/>
      <c r="D112" s="60"/>
      <c r="E112" s="61"/>
      <c r="G112" s="62" t="s">
        <v>82</v>
      </c>
      <c r="H112" s="60"/>
      <c r="I112" s="60"/>
      <c r="J112" s="60"/>
      <c r="K112" s="60"/>
      <c r="L112" s="60"/>
      <c r="M112" s="61"/>
    </row>
    <row r="113" spans="1:13" ht="14.65" thickBot="1" x14ac:dyDescent="0.5">
      <c r="A113" s="72" t="s">
        <v>28</v>
      </c>
      <c r="B113" s="24" t="s">
        <v>7</v>
      </c>
      <c r="C113" s="54">
        <v>6336.6</v>
      </c>
      <c r="E113" s="9"/>
      <c r="G113" s="8"/>
      <c r="H113" s="3" t="s">
        <v>76</v>
      </c>
      <c r="I113" s="3" t="s">
        <v>75</v>
      </c>
      <c r="J113" s="3" t="s">
        <v>77</v>
      </c>
      <c r="K113" s="3" t="s">
        <v>78</v>
      </c>
      <c r="L113" s="3" t="s">
        <v>79</v>
      </c>
      <c r="M113" s="10" t="s">
        <v>80</v>
      </c>
    </row>
    <row r="114" spans="1:13" ht="14.65" thickBot="1" x14ac:dyDescent="0.5">
      <c r="A114" s="72"/>
      <c r="B114" s="24" t="s">
        <v>8</v>
      </c>
      <c r="C114" s="54">
        <v>866.71</v>
      </c>
      <c r="D114" s="3" t="s">
        <v>9</v>
      </c>
      <c r="E114" s="10" t="s">
        <v>10</v>
      </c>
      <c r="G114" s="8" t="s">
        <v>63</v>
      </c>
      <c r="H114">
        <v>79.87</v>
      </c>
      <c r="I114">
        <v>587.12</v>
      </c>
      <c r="J114">
        <v>2.16</v>
      </c>
      <c r="K114">
        <v>0</v>
      </c>
      <c r="L114">
        <v>98.17</v>
      </c>
      <c r="M114" s="9">
        <v>0</v>
      </c>
    </row>
    <row r="115" spans="1:13" ht="14.65" thickBot="1" x14ac:dyDescent="0.5">
      <c r="A115" s="72" t="s">
        <v>3</v>
      </c>
      <c r="B115" s="25" t="s">
        <v>29</v>
      </c>
      <c r="C115" s="27">
        <f>'BAU Results'!C116</f>
        <v>1288.72</v>
      </c>
      <c r="D115" s="27"/>
      <c r="E115" s="11"/>
      <c r="G115" s="8" t="s">
        <v>64</v>
      </c>
      <c r="H115">
        <v>73.11</v>
      </c>
      <c r="I115">
        <v>534.64</v>
      </c>
      <c r="J115">
        <v>1.53</v>
      </c>
      <c r="K115">
        <v>0</v>
      </c>
      <c r="L115">
        <v>71.36</v>
      </c>
      <c r="M115" s="9">
        <v>0</v>
      </c>
    </row>
    <row r="116" spans="1:13" ht="14.65" thickBot="1" x14ac:dyDescent="0.5">
      <c r="A116" s="72"/>
      <c r="B116" s="25" t="s">
        <v>11</v>
      </c>
      <c r="C116" s="6">
        <v>282.79000000000002</v>
      </c>
      <c r="D116" s="27">
        <f>C116/$C$1</f>
        <v>0.64631805092105865</v>
      </c>
      <c r="E116" s="11">
        <f>C116/$C$2</f>
        <v>1.190544352292342</v>
      </c>
      <c r="G116" s="8" t="s">
        <v>65</v>
      </c>
      <c r="H116">
        <v>85.5</v>
      </c>
      <c r="I116">
        <v>617.91999999999996</v>
      </c>
      <c r="J116">
        <v>0.7</v>
      </c>
      <c r="K116">
        <v>0</v>
      </c>
      <c r="L116">
        <v>30.49</v>
      </c>
      <c r="M116" s="9">
        <v>2.12</v>
      </c>
    </row>
    <row r="117" spans="1:13" x14ac:dyDescent="0.45">
      <c r="A117" s="72"/>
      <c r="B117" s="25" t="s">
        <v>103</v>
      </c>
      <c r="C117" s="26">
        <v>68.349999999999994</v>
      </c>
      <c r="D117" s="27"/>
      <c r="E117" s="11"/>
      <c r="G117" s="8" t="s">
        <v>66</v>
      </c>
      <c r="H117">
        <v>73.11</v>
      </c>
      <c r="I117">
        <v>534.64</v>
      </c>
      <c r="J117">
        <v>0.6</v>
      </c>
      <c r="K117">
        <v>0</v>
      </c>
      <c r="L117">
        <v>9.26</v>
      </c>
      <c r="M117" s="9">
        <v>21</v>
      </c>
    </row>
    <row r="118" spans="1:13" x14ac:dyDescent="0.45">
      <c r="A118" s="72"/>
      <c r="B118" s="25"/>
      <c r="C118" s="26"/>
      <c r="D118" s="27"/>
      <c r="E118" s="11"/>
      <c r="G118" s="8" t="s">
        <v>67</v>
      </c>
      <c r="H118">
        <v>83.76</v>
      </c>
      <c r="I118">
        <v>613.72</v>
      </c>
      <c r="J118">
        <v>1.57</v>
      </c>
      <c r="K118">
        <v>0</v>
      </c>
      <c r="L118">
        <v>0.28000000000000003</v>
      </c>
      <c r="M118" s="9">
        <v>68.930000000000007</v>
      </c>
    </row>
    <row r="119" spans="1:13" x14ac:dyDescent="0.45">
      <c r="A119" s="72"/>
      <c r="B119" s="25"/>
      <c r="C119" s="26"/>
      <c r="D119" s="27"/>
      <c r="E119" s="11"/>
      <c r="G119" s="8" t="s">
        <v>68</v>
      </c>
      <c r="H119">
        <v>79.87</v>
      </c>
      <c r="I119">
        <v>587.12</v>
      </c>
      <c r="J119">
        <v>3.08</v>
      </c>
      <c r="K119">
        <v>0</v>
      </c>
      <c r="L119">
        <v>0</v>
      </c>
      <c r="M119" s="9">
        <v>134.81</v>
      </c>
    </row>
    <row r="120" spans="1:13" ht="14.65" thickBot="1" x14ac:dyDescent="0.5">
      <c r="A120" s="72"/>
      <c r="B120" s="28" t="s">
        <v>30</v>
      </c>
      <c r="C120" s="30">
        <f>'BAU Results'!C121</f>
        <v>3111.28</v>
      </c>
      <c r="D120" s="30"/>
      <c r="E120" s="12"/>
      <c r="G120" s="8" t="s">
        <v>69</v>
      </c>
      <c r="H120">
        <v>76.489999999999995</v>
      </c>
      <c r="I120">
        <v>560.88</v>
      </c>
      <c r="J120">
        <v>4.8</v>
      </c>
      <c r="K120">
        <v>0</v>
      </c>
      <c r="L120">
        <v>0</v>
      </c>
      <c r="M120" s="9">
        <v>203.55</v>
      </c>
    </row>
    <row r="121" spans="1:13" ht="14.65" thickBot="1" x14ac:dyDescent="0.5">
      <c r="A121" s="72"/>
      <c r="B121" s="28" t="s">
        <v>12</v>
      </c>
      <c r="C121" s="7">
        <v>716.29</v>
      </c>
      <c r="D121" s="30">
        <f>C121/$C$1</f>
        <v>1.6370846094071398</v>
      </c>
      <c r="E121" s="12">
        <f>C121/$C$2</f>
        <v>3.0155769797499263</v>
      </c>
      <c r="G121" s="8" t="s">
        <v>70</v>
      </c>
      <c r="H121">
        <v>0</v>
      </c>
      <c r="I121">
        <v>0</v>
      </c>
      <c r="J121">
        <v>0</v>
      </c>
      <c r="K121">
        <v>0</v>
      </c>
      <c r="L121">
        <v>0</v>
      </c>
      <c r="M121" s="9">
        <v>0</v>
      </c>
    </row>
    <row r="122" spans="1:13" x14ac:dyDescent="0.45">
      <c r="A122" s="72"/>
      <c r="B122" s="28" t="s">
        <v>104</v>
      </c>
      <c r="C122" s="29">
        <v>91.56</v>
      </c>
      <c r="D122" s="29"/>
      <c r="E122" s="12"/>
      <c r="G122" s="8" t="s">
        <v>71</v>
      </c>
      <c r="H122">
        <v>78.23</v>
      </c>
      <c r="I122">
        <v>565.08000000000004</v>
      </c>
      <c r="J122">
        <v>4.7</v>
      </c>
      <c r="K122">
        <v>0</v>
      </c>
      <c r="L122">
        <v>0</v>
      </c>
      <c r="M122" s="9">
        <v>203.88</v>
      </c>
    </row>
    <row r="123" spans="1:13" x14ac:dyDescent="0.45">
      <c r="A123" s="72"/>
      <c r="B123" s="28"/>
      <c r="C123" s="29"/>
      <c r="D123" s="29"/>
      <c r="E123" s="12"/>
      <c r="G123" s="8" t="s">
        <v>72</v>
      </c>
      <c r="H123">
        <v>79.87</v>
      </c>
      <c r="I123">
        <v>587.12</v>
      </c>
      <c r="J123">
        <v>1.69</v>
      </c>
      <c r="K123">
        <v>0</v>
      </c>
      <c r="L123">
        <v>0.06</v>
      </c>
      <c r="M123" s="9">
        <v>76.25</v>
      </c>
    </row>
    <row r="124" spans="1:13" ht="14.65" thickBot="1" x14ac:dyDescent="0.5">
      <c r="A124" s="72"/>
      <c r="B124" s="28"/>
      <c r="C124" s="29"/>
      <c r="D124" s="29"/>
      <c r="E124" s="12"/>
      <c r="G124" s="8" t="s">
        <v>73</v>
      </c>
      <c r="H124">
        <v>80.39</v>
      </c>
      <c r="I124">
        <v>587.48</v>
      </c>
      <c r="J124">
        <v>0.64</v>
      </c>
      <c r="K124">
        <v>0</v>
      </c>
      <c r="L124">
        <v>23.27</v>
      </c>
      <c r="M124" s="9">
        <v>5.76</v>
      </c>
    </row>
    <row r="125" spans="1:13" ht="14.65" thickBot="1" x14ac:dyDescent="0.5">
      <c r="A125" s="72"/>
      <c r="B125" s="31" t="s">
        <v>23</v>
      </c>
      <c r="C125" s="18">
        <v>22.57</v>
      </c>
      <c r="D125" s="32"/>
      <c r="E125" s="49"/>
      <c r="G125" s="8" t="s">
        <v>74</v>
      </c>
      <c r="H125">
        <v>76.489999999999995</v>
      </c>
      <c r="I125">
        <v>560.88</v>
      </c>
      <c r="J125">
        <v>1.08</v>
      </c>
      <c r="K125">
        <v>0</v>
      </c>
      <c r="L125">
        <v>49.9</v>
      </c>
      <c r="M125" s="9">
        <v>0</v>
      </c>
    </row>
    <row r="126" spans="1:13" x14ac:dyDescent="0.45">
      <c r="A126" s="72" t="s">
        <v>2</v>
      </c>
      <c r="B126" s="33" t="s">
        <v>32</v>
      </c>
      <c r="C126" s="34"/>
      <c r="D126" s="35"/>
      <c r="E126" s="13"/>
      <c r="G126" s="8"/>
      <c r="M126" s="9"/>
    </row>
    <row r="127" spans="1:13" ht="14.65" thickBot="1" x14ac:dyDescent="0.5">
      <c r="A127" s="72"/>
      <c r="B127" s="14" t="s">
        <v>31</v>
      </c>
      <c r="C127" s="36"/>
      <c r="D127" s="36"/>
      <c r="E127" s="50"/>
      <c r="G127" s="15" t="s">
        <v>81</v>
      </c>
      <c r="H127" s="16">
        <v>866.71</v>
      </c>
      <c r="I127" s="16">
        <v>6336.6</v>
      </c>
      <c r="J127" s="16">
        <v>22.57</v>
      </c>
      <c r="K127" s="16">
        <v>0</v>
      </c>
      <c r="L127" s="16">
        <v>282.79000000000002</v>
      </c>
      <c r="M127" s="21">
        <v>716.29</v>
      </c>
    </row>
    <row r="128" spans="1:13" x14ac:dyDescent="0.45">
      <c r="A128" s="72"/>
      <c r="B128" s="14" t="s">
        <v>21</v>
      </c>
      <c r="C128" s="53"/>
      <c r="D128" s="38"/>
      <c r="E128" s="51"/>
    </row>
    <row r="129" spans="1:6" x14ac:dyDescent="0.45">
      <c r="A129" s="72"/>
      <c r="B129" s="14" t="s">
        <v>22</v>
      </c>
      <c r="C129" s="36"/>
      <c r="D129" s="36"/>
      <c r="E129" s="51"/>
    </row>
    <row r="130" spans="1:6" x14ac:dyDescent="0.45">
      <c r="A130" s="8"/>
      <c r="B130" s="39" t="s">
        <v>24</v>
      </c>
      <c r="C130" s="40">
        <f>C113+C114+C116+C121+C125+C126+C128+C129</f>
        <v>8224.9599999999991</v>
      </c>
      <c r="D130" s="41"/>
      <c r="E130" s="22"/>
    </row>
    <row r="131" spans="1:6" x14ac:dyDescent="0.45">
      <c r="A131" s="8"/>
      <c r="E131" s="9"/>
    </row>
    <row r="132" spans="1:6" ht="15.75" x14ac:dyDescent="0.5">
      <c r="A132" s="72" t="s">
        <v>25</v>
      </c>
      <c r="B132" s="43" t="s">
        <v>14</v>
      </c>
      <c r="C132" s="44">
        <v>3801.6990000000001</v>
      </c>
      <c r="E132" s="9"/>
    </row>
    <row r="133" spans="1:6" ht="15.75" x14ac:dyDescent="0.5">
      <c r="A133" s="72"/>
      <c r="B133" s="43" t="s">
        <v>110</v>
      </c>
      <c r="C133" s="45">
        <v>-36.61</v>
      </c>
      <c r="E133" s="9"/>
    </row>
    <row r="134" spans="1:6" ht="15.75" x14ac:dyDescent="0.5">
      <c r="A134" s="72"/>
      <c r="B134" s="43" t="s">
        <v>15</v>
      </c>
      <c r="C134" s="45">
        <v>-112.95</v>
      </c>
      <c r="E134" s="52"/>
    </row>
    <row r="135" spans="1:6" ht="15.75" x14ac:dyDescent="0.45">
      <c r="A135" s="72"/>
      <c r="B135" s="43" t="s">
        <v>16</v>
      </c>
      <c r="C135" s="46">
        <f>C132+C133+C134</f>
        <v>3652.1390000000001</v>
      </c>
      <c r="E135" s="9"/>
    </row>
    <row r="136" spans="1:6" ht="15.75" x14ac:dyDescent="0.45">
      <c r="A136" s="72"/>
      <c r="B136" s="43" t="s">
        <v>17</v>
      </c>
      <c r="C136" s="47">
        <v>-1161.3320000000001</v>
      </c>
      <c r="E136" s="9"/>
    </row>
    <row r="137" spans="1:6" ht="15.75" x14ac:dyDescent="0.5">
      <c r="A137" s="72"/>
      <c r="B137" s="43" t="s">
        <v>18</v>
      </c>
      <c r="C137" s="44">
        <f>C135+C136</f>
        <v>2490.8069999999998</v>
      </c>
      <c r="E137" s="9"/>
    </row>
    <row r="138" spans="1:6" ht="15.75" x14ac:dyDescent="0.5">
      <c r="A138" s="72"/>
      <c r="B138" s="43" t="s">
        <v>19</v>
      </c>
      <c r="C138" s="45">
        <v>5734.1660000000002</v>
      </c>
      <c r="E138" s="9"/>
    </row>
    <row r="139" spans="1:6" ht="15.75" customHeight="1" x14ac:dyDescent="0.45">
      <c r="A139" s="72"/>
      <c r="B139" s="43" t="s">
        <v>20</v>
      </c>
      <c r="C139" s="46">
        <f>C137+C138</f>
        <v>8224.973</v>
      </c>
      <c r="D139" s="63"/>
      <c r="E139" s="64"/>
    </row>
    <row r="140" spans="1:6" x14ac:dyDescent="0.45">
      <c r="A140" s="8"/>
      <c r="D140" s="63"/>
      <c r="E140" s="64"/>
    </row>
    <row r="141" spans="1:6" x14ac:dyDescent="0.45">
      <c r="A141" s="8"/>
      <c r="D141" s="63"/>
      <c r="E141" s="64"/>
    </row>
    <row r="142" spans="1:6" ht="14.65" thickBot="1" x14ac:dyDescent="0.5">
      <c r="A142" s="15"/>
      <c r="B142" s="16"/>
      <c r="C142" s="16"/>
      <c r="D142" s="65"/>
      <c r="E142" s="66"/>
      <c r="F142" s="5"/>
    </row>
  </sheetData>
  <mergeCells count="41">
    <mergeCell ref="A115:A125"/>
    <mergeCell ref="A126:A129"/>
    <mergeCell ref="A132:A139"/>
    <mergeCell ref="D139:E142"/>
    <mergeCell ref="A41:E41"/>
    <mergeCell ref="A42:E42"/>
    <mergeCell ref="A76:E76"/>
    <mergeCell ref="A77:E77"/>
    <mergeCell ref="A111:E111"/>
    <mergeCell ref="A112:E112"/>
    <mergeCell ref="A109:M110"/>
    <mergeCell ref="G111:M111"/>
    <mergeCell ref="G112:M112"/>
    <mergeCell ref="A113:A114"/>
    <mergeCell ref="G77:M77"/>
    <mergeCell ref="A78:A79"/>
    <mergeCell ref="A80:A90"/>
    <mergeCell ref="A91:A94"/>
    <mergeCell ref="A97:A104"/>
    <mergeCell ref="D104:E107"/>
    <mergeCell ref="A56:A59"/>
    <mergeCell ref="A62:A69"/>
    <mergeCell ref="D69:E72"/>
    <mergeCell ref="A74:M75"/>
    <mergeCell ref="G76:M76"/>
    <mergeCell ref="G41:M41"/>
    <mergeCell ref="G42:M42"/>
    <mergeCell ref="A43:A44"/>
    <mergeCell ref="A45:A55"/>
    <mergeCell ref="A10:A20"/>
    <mergeCell ref="A21:A24"/>
    <mergeCell ref="A27:A34"/>
    <mergeCell ref="D34:E34"/>
    <mergeCell ref="D35:E36"/>
    <mergeCell ref="A39:M40"/>
    <mergeCell ref="A4:M5"/>
    <mergeCell ref="G6:M6"/>
    <mergeCell ref="G7:M7"/>
    <mergeCell ref="A8:A9"/>
    <mergeCell ref="A6:E6"/>
    <mergeCell ref="A7:E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221C-A473-4D89-A171-21E6DEF36138}">
  <dimension ref="A1:M141"/>
  <sheetViews>
    <sheetView zoomScaleNormal="100" workbookViewId="0">
      <selection activeCell="B1" sqref="B1"/>
    </sheetView>
  </sheetViews>
  <sheetFormatPr defaultRowHeight="14.25" x14ac:dyDescent="0.45"/>
  <cols>
    <col min="1" max="1" width="3.33203125" customWidth="1"/>
    <col min="2" max="2" width="50.265625" bestFit="1" customWidth="1"/>
    <col min="3" max="3" width="9.3984375" bestFit="1" customWidth="1"/>
    <col min="4" max="4" width="14.06640625" customWidth="1"/>
    <col min="5" max="5" width="18.1328125" customWidth="1"/>
    <col min="6" max="6" width="9.06640625" customWidth="1"/>
    <col min="7" max="7" width="10" bestFit="1" customWidth="1"/>
    <col min="8" max="8" width="17" bestFit="1" customWidth="1"/>
    <col min="9" max="9" width="19.46484375" bestFit="1" customWidth="1"/>
    <col min="10" max="10" width="14.53125" bestFit="1" customWidth="1"/>
    <col min="11" max="11" width="16.265625" bestFit="1" customWidth="1"/>
    <col min="12" max="12" width="17" bestFit="1" customWidth="1"/>
    <col min="13" max="13" width="16.9296875" bestFit="1" customWidth="1"/>
  </cols>
  <sheetData>
    <row r="1" spans="1:13" x14ac:dyDescent="0.45">
      <c r="B1" t="s">
        <v>4</v>
      </c>
      <c r="C1">
        <f>'BAU Results'!C1</f>
        <v>437.54</v>
      </c>
    </row>
    <row r="2" spans="1:13" x14ac:dyDescent="0.45">
      <c r="B2" t="s">
        <v>5</v>
      </c>
      <c r="C2">
        <f>'BAU Results'!C2</f>
        <v>237.53</v>
      </c>
    </row>
    <row r="4" spans="1:13" x14ac:dyDescent="0.45">
      <c r="A4" s="67" t="s">
        <v>86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</row>
    <row r="5" spans="1:13" ht="14.65" thickBot="1" x14ac:dyDescent="0.5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</row>
    <row r="6" spans="1:13" x14ac:dyDescent="0.45">
      <c r="A6" s="55" t="s">
        <v>102</v>
      </c>
      <c r="B6" s="56"/>
      <c r="C6" s="56"/>
      <c r="D6" s="56"/>
      <c r="E6" s="57"/>
      <c r="G6" s="55" t="s">
        <v>102</v>
      </c>
      <c r="H6" s="56"/>
      <c r="I6" s="56"/>
      <c r="J6" s="56"/>
      <c r="K6" s="56"/>
      <c r="L6" s="56"/>
      <c r="M6" s="57"/>
    </row>
    <row r="7" spans="1:13" ht="14.65" thickBot="1" x14ac:dyDescent="0.5">
      <c r="A7" s="62" t="s">
        <v>6</v>
      </c>
      <c r="B7" s="60"/>
      <c r="C7" s="60"/>
      <c r="D7" s="60"/>
      <c r="E7" s="61"/>
      <c r="G7" s="62" t="s">
        <v>82</v>
      </c>
      <c r="H7" s="60"/>
      <c r="I7" s="60"/>
      <c r="J7" s="60"/>
      <c r="K7" s="60"/>
      <c r="L7" s="60"/>
      <c r="M7" s="61"/>
    </row>
    <row r="8" spans="1:13" ht="14.65" thickBot="1" x14ac:dyDescent="0.5">
      <c r="A8" s="72" t="s">
        <v>28</v>
      </c>
      <c r="B8" s="24" t="s">
        <v>7</v>
      </c>
      <c r="C8" s="54">
        <v>6336.6</v>
      </c>
      <c r="E8" s="9"/>
      <c r="G8" s="8"/>
      <c r="H8" s="3" t="s">
        <v>76</v>
      </c>
      <c r="I8" s="3" t="s">
        <v>75</v>
      </c>
      <c r="J8" s="3" t="s">
        <v>77</v>
      </c>
      <c r="K8" s="3" t="s">
        <v>78</v>
      </c>
      <c r="L8" s="3" t="s">
        <v>79</v>
      </c>
      <c r="M8" s="10" t="s">
        <v>80</v>
      </c>
    </row>
    <row r="9" spans="1:13" ht="14.65" thickBot="1" x14ac:dyDescent="0.5">
      <c r="A9" s="72"/>
      <c r="B9" s="24" t="s">
        <v>8</v>
      </c>
      <c r="C9" s="54">
        <v>866.71</v>
      </c>
      <c r="D9" s="3" t="s">
        <v>9</v>
      </c>
      <c r="E9" s="10" t="s">
        <v>10</v>
      </c>
      <c r="G9" s="8" t="s">
        <v>63</v>
      </c>
      <c r="H9">
        <v>79.87</v>
      </c>
      <c r="I9">
        <v>587.12</v>
      </c>
      <c r="J9">
        <v>3.51</v>
      </c>
      <c r="K9">
        <v>20.86</v>
      </c>
      <c r="L9">
        <v>246.73</v>
      </c>
      <c r="M9" s="9">
        <v>0</v>
      </c>
    </row>
    <row r="10" spans="1:13" ht="14.65" customHeight="1" thickBot="1" x14ac:dyDescent="0.5">
      <c r="A10" s="72" t="s">
        <v>3</v>
      </c>
      <c r="B10" s="25" t="s">
        <v>29</v>
      </c>
      <c r="C10" s="27">
        <f>'BAU Results'!C10</f>
        <v>2896.84</v>
      </c>
      <c r="D10" s="27"/>
      <c r="E10" s="11"/>
      <c r="G10" s="8" t="s">
        <v>64</v>
      </c>
      <c r="H10">
        <v>73.11</v>
      </c>
      <c r="I10">
        <v>534.64</v>
      </c>
      <c r="J10">
        <v>2.68</v>
      </c>
      <c r="K10">
        <v>16.48</v>
      </c>
      <c r="L10">
        <v>184.81</v>
      </c>
      <c r="M10" s="9">
        <v>0</v>
      </c>
    </row>
    <row r="11" spans="1:13" ht="14.65" thickBot="1" x14ac:dyDescent="0.5">
      <c r="A11" s="72"/>
      <c r="B11" s="25" t="s">
        <v>11</v>
      </c>
      <c r="C11" s="6">
        <v>870.01</v>
      </c>
      <c r="D11" s="27">
        <f>C11/$C$1</f>
        <v>1.9884124880010969</v>
      </c>
      <c r="E11" s="11">
        <f>C11/$C$2</f>
        <v>3.6627373384414601</v>
      </c>
      <c r="G11" s="8" t="s">
        <v>65</v>
      </c>
      <c r="H11">
        <v>85.5</v>
      </c>
      <c r="I11">
        <v>617.91999999999996</v>
      </c>
      <c r="J11">
        <v>1.73</v>
      </c>
      <c r="K11">
        <v>11.15</v>
      </c>
      <c r="L11">
        <v>110.56</v>
      </c>
      <c r="M11" s="9">
        <v>0</v>
      </c>
    </row>
    <row r="12" spans="1:13" x14ac:dyDescent="0.45">
      <c r="A12" s="72"/>
      <c r="B12" s="25" t="s">
        <v>103</v>
      </c>
      <c r="C12" s="26">
        <v>82.65</v>
      </c>
      <c r="D12" s="27"/>
      <c r="E12" s="11"/>
      <c r="G12" s="8" t="s">
        <v>66</v>
      </c>
      <c r="H12">
        <v>73.11</v>
      </c>
      <c r="I12">
        <v>534.64</v>
      </c>
      <c r="J12">
        <v>1</v>
      </c>
      <c r="K12">
        <v>6.54</v>
      </c>
      <c r="L12">
        <v>55</v>
      </c>
      <c r="M12" s="9">
        <v>0.56000000000000005</v>
      </c>
    </row>
    <row r="13" spans="1:13" x14ac:dyDescent="0.45">
      <c r="A13" s="72"/>
      <c r="B13" s="25"/>
      <c r="C13" s="26"/>
      <c r="D13" s="27"/>
      <c r="E13" s="11"/>
      <c r="G13" s="8" t="s">
        <v>67</v>
      </c>
      <c r="H13">
        <v>83.76</v>
      </c>
      <c r="I13">
        <v>613.72</v>
      </c>
      <c r="J13">
        <v>0.52</v>
      </c>
      <c r="K13">
        <v>3.38</v>
      </c>
      <c r="L13">
        <v>11.21</v>
      </c>
      <c r="M13" s="9">
        <v>2.0299999999999998</v>
      </c>
    </row>
    <row r="14" spans="1:13" x14ac:dyDescent="0.45">
      <c r="A14" s="72"/>
      <c r="B14" s="25"/>
      <c r="C14" s="26"/>
      <c r="D14" s="27"/>
      <c r="E14" s="11"/>
      <c r="G14" s="8" t="s">
        <v>68</v>
      </c>
      <c r="H14">
        <v>79.87</v>
      </c>
      <c r="I14">
        <v>587.12</v>
      </c>
      <c r="J14">
        <v>0.64</v>
      </c>
      <c r="K14">
        <v>4.17</v>
      </c>
      <c r="L14">
        <v>0.89</v>
      </c>
      <c r="M14" s="9">
        <v>6.48</v>
      </c>
    </row>
    <row r="15" spans="1:13" ht="14.65" thickBot="1" x14ac:dyDescent="0.5">
      <c r="A15" s="72"/>
      <c r="B15" s="28" t="s">
        <v>30</v>
      </c>
      <c r="C15" s="30">
        <f>'BAU Results'!C15</f>
        <v>957.27</v>
      </c>
      <c r="D15" s="30"/>
      <c r="E15" s="12"/>
      <c r="G15" s="8" t="s">
        <v>69</v>
      </c>
      <c r="H15">
        <v>76.489999999999995</v>
      </c>
      <c r="I15">
        <v>560.88</v>
      </c>
      <c r="J15">
        <v>1.92</v>
      </c>
      <c r="K15">
        <v>11.39</v>
      </c>
      <c r="L15">
        <v>0.03</v>
      </c>
      <c r="M15" s="9">
        <v>27.68</v>
      </c>
    </row>
    <row r="16" spans="1:13" ht="14.65" thickBot="1" x14ac:dyDescent="0.5">
      <c r="A16" s="72"/>
      <c r="B16" s="28" t="s">
        <v>12</v>
      </c>
      <c r="C16" s="7">
        <v>60.85</v>
      </c>
      <c r="D16" s="30">
        <f>C16/$C$1</f>
        <v>0.13907299904008777</v>
      </c>
      <c r="E16" s="12">
        <f>C16/$C$2</f>
        <v>0.25617816696838297</v>
      </c>
      <c r="G16" s="8" t="s">
        <v>70</v>
      </c>
      <c r="H16">
        <v>0</v>
      </c>
      <c r="I16">
        <v>0</v>
      </c>
      <c r="J16">
        <v>0</v>
      </c>
      <c r="K16">
        <v>0</v>
      </c>
      <c r="L16">
        <v>0</v>
      </c>
      <c r="M16" s="9">
        <v>0</v>
      </c>
    </row>
    <row r="17" spans="1:13" x14ac:dyDescent="0.45">
      <c r="A17" s="72"/>
      <c r="B17" s="28" t="s">
        <v>104</v>
      </c>
      <c r="C17" s="29">
        <v>1.1000000000000001</v>
      </c>
      <c r="D17" s="29"/>
      <c r="E17" s="12"/>
      <c r="G17" s="8" t="s">
        <v>71</v>
      </c>
      <c r="H17">
        <v>78.23</v>
      </c>
      <c r="I17">
        <v>565.08000000000004</v>
      </c>
      <c r="J17">
        <v>1.82</v>
      </c>
      <c r="K17">
        <v>10.83</v>
      </c>
      <c r="L17">
        <v>0.12</v>
      </c>
      <c r="M17" s="9">
        <v>21.67</v>
      </c>
    </row>
    <row r="18" spans="1:13" x14ac:dyDescent="0.45">
      <c r="A18" s="72"/>
      <c r="B18" s="28"/>
      <c r="C18" s="29"/>
      <c r="D18" s="29"/>
      <c r="E18" s="12"/>
      <c r="G18" s="8" t="s">
        <v>72</v>
      </c>
      <c r="H18">
        <v>79.87</v>
      </c>
      <c r="I18">
        <v>587.12</v>
      </c>
      <c r="J18">
        <v>0.39</v>
      </c>
      <c r="K18">
        <v>2.42</v>
      </c>
      <c r="L18">
        <v>4.3899999999999997</v>
      </c>
      <c r="M18" s="9">
        <v>2.37</v>
      </c>
    </row>
    <row r="19" spans="1:13" ht="14.65" thickBot="1" x14ac:dyDescent="0.5">
      <c r="A19" s="72"/>
      <c r="B19" s="28"/>
      <c r="C19" s="29"/>
      <c r="D19" s="29"/>
      <c r="E19" s="12"/>
      <c r="G19" s="8" t="s">
        <v>73</v>
      </c>
      <c r="H19">
        <v>80.39</v>
      </c>
      <c r="I19">
        <v>587.48</v>
      </c>
      <c r="J19">
        <v>1.54</v>
      </c>
      <c r="K19">
        <v>9.93</v>
      </c>
      <c r="L19">
        <v>98.13</v>
      </c>
      <c r="M19" s="9">
        <v>0.05</v>
      </c>
    </row>
    <row r="20" spans="1:13" ht="14.65" thickBot="1" x14ac:dyDescent="0.5">
      <c r="A20" s="72"/>
      <c r="B20" s="31" t="s">
        <v>23</v>
      </c>
      <c r="C20" s="18">
        <v>18.100000000000001</v>
      </c>
      <c r="D20" s="32"/>
      <c r="E20" s="49"/>
      <c r="G20" s="8" t="s">
        <v>74</v>
      </c>
      <c r="H20">
        <v>76.489999999999995</v>
      </c>
      <c r="I20">
        <v>560.88</v>
      </c>
      <c r="J20">
        <v>2.36</v>
      </c>
      <c r="K20">
        <v>15.08</v>
      </c>
      <c r="L20">
        <v>158.13999999999999</v>
      </c>
      <c r="M20" s="9">
        <v>0</v>
      </c>
    </row>
    <row r="21" spans="1:13" ht="14.65" thickBot="1" x14ac:dyDescent="0.5">
      <c r="A21" s="72" t="s">
        <v>2</v>
      </c>
      <c r="B21" s="33" t="s">
        <v>32</v>
      </c>
      <c r="C21" s="19">
        <v>112.23</v>
      </c>
      <c r="D21" s="35"/>
      <c r="E21" s="13"/>
      <c r="G21" s="8"/>
      <c r="M21" s="9"/>
    </row>
    <row r="22" spans="1:13" ht="14.65" customHeight="1" thickBot="1" x14ac:dyDescent="0.5">
      <c r="A22" s="72"/>
      <c r="B22" s="14" t="s">
        <v>31</v>
      </c>
      <c r="C22" s="36"/>
      <c r="D22" s="36"/>
      <c r="E22" s="50"/>
      <c r="G22" s="15" t="s">
        <v>81</v>
      </c>
      <c r="H22" s="16">
        <v>866.71</v>
      </c>
      <c r="I22" s="16">
        <v>6336.6</v>
      </c>
      <c r="J22" s="16">
        <v>18.100000000000001</v>
      </c>
      <c r="K22" s="16">
        <v>112.23</v>
      </c>
      <c r="L22" s="16">
        <v>870.01</v>
      </c>
      <c r="M22" s="21">
        <v>60.85</v>
      </c>
    </row>
    <row r="23" spans="1:13" x14ac:dyDescent="0.45">
      <c r="A23" s="72"/>
      <c r="B23" s="14" t="s">
        <v>21</v>
      </c>
      <c r="C23" s="53"/>
      <c r="D23" s="38"/>
      <c r="E23" s="51"/>
    </row>
    <row r="24" spans="1:13" x14ac:dyDescent="0.45">
      <c r="A24" s="72"/>
      <c r="B24" s="14" t="s">
        <v>22</v>
      </c>
      <c r="C24" s="36"/>
      <c r="D24" s="36"/>
      <c r="E24" s="51"/>
    </row>
    <row r="25" spans="1:13" x14ac:dyDescent="0.45">
      <c r="A25" s="8"/>
      <c r="B25" s="39" t="s">
        <v>24</v>
      </c>
      <c r="C25" s="40">
        <f>C8+C9+C11+C16+C20+C21+C23+C24</f>
        <v>8264.5000000000018</v>
      </c>
      <c r="D25" s="41"/>
      <c r="E25" s="22"/>
    </row>
    <row r="26" spans="1:13" x14ac:dyDescent="0.45">
      <c r="A26" s="8"/>
      <c r="E26" s="9"/>
    </row>
    <row r="27" spans="1:13" x14ac:dyDescent="0.45">
      <c r="A27" s="72" t="s">
        <v>25</v>
      </c>
      <c r="B27" s="43" t="s">
        <v>14</v>
      </c>
      <c r="C27">
        <v>3748.942</v>
      </c>
      <c r="E27" s="9"/>
    </row>
    <row r="28" spans="1:13" ht="15.75" x14ac:dyDescent="0.5">
      <c r="A28" s="72"/>
      <c r="B28" s="43" t="s">
        <v>110</v>
      </c>
      <c r="C28" s="45">
        <v>-35.369999999999997</v>
      </c>
      <c r="E28" s="9"/>
    </row>
    <row r="29" spans="1:13" ht="15.75" x14ac:dyDescent="0.5">
      <c r="A29" s="72"/>
      <c r="B29" s="43" t="s">
        <v>15</v>
      </c>
      <c r="C29" s="45">
        <v>-111.41</v>
      </c>
      <c r="E29" s="52"/>
    </row>
    <row r="30" spans="1:13" ht="15.75" x14ac:dyDescent="0.45">
      <c r="A30" s="72"/>
      <c r="B30" s="43" t="s">
        <v>16</v>
      </c>
      <c r="C30" s="46">
        <f>C27+C28+C29</f>
        <v>3602.1620000000003</v>
      </c>
      <c r="E30" s="9"/>
    </row>
    <row r="31" spans="1:13" ht="15.75" x14ac:dyDescent="0.45">
      <c r="A31" s="72"/>
      <c r="B31" s="43" t="s">
        <v>17</v>
      </c>
      <c r="C31" s="47">
        <v>-1137.998</v>
      </c>
      <c r="E31" s="9"/>
    </row>
    <row r="32" spans="1:13" ht="15.75" x14ac:dyDescent="0.5">
      <c r="A32" s="72"/>
      <c r="B32" s="43" t="s">
        <v>18</v>
      </c>
      <c r="C32" s="44">
        <f>C30+C31</f>
        <v>2464.1640000000002</v>
      </c>
      <c r="E32" s="9"/>
    </row>
    <row r="33" spans="1:13" ht="15.75" x14ac:dyDescent="0.5">
      <c r="A33" s="72"/>
      <c r="B33" s="43" t="s">
        <v>19</v>
      </c>
      <c r="C33" s="45">
        <v>5800.3370000000004</v>
      </c>
      <c r="E33" s="9"/>
    </row>
    <row r="34" spans="1:13" ht="15.75" customHeight="1" x14ac:dyDescent="0.45">
      <c r="A34" s="72"/>
      <c r="B34" s="43" t="s">
        <v>20</v>
      </c>
      <c r="C34" s="46">
        <f>C32+C33</f>
        <v>8264.5010000000002</v>
      </c>
      <c r="D34" s="63"/>
      <c r="E34" s="64"/>
    </row>
    <row r="35" spans="1:13" ht="14.65" thickBot="1" x14ac:dyDescent="0.5">
      <c r="A35" s="15"/>
      <c r="B35" s="16"/>
      <c r="C35" s="16"/>
      <c r="D35" s="70"/>
      <c r="E35" s="71"/>
      <c r="F35" s="5"/>
    </row>
    <row r="36" spans="1:13" x14ac:dyDescent="0.45">
      <c r="D36" s="23"/>
      <c r="E36" s="23"/>
    </row>
    <row r="37" spans="1:13" x14ac:dyDescent="0.45">
      <c r="D37" s="23"/>
      <c r="E37" s="23"/>
    </row>
    <row r="38" spans="1:13" x14ac:dyDescent="0.45">
      <c r="A38" s="67" t="s">
        <v>83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</row>
    <row r="39" spans="1:13" ht="14.65" thickBot="1" x14ac:dyDescent="0.5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</row>
    <row r="40" spans="1:13" x14ac:dyDescent="0.45">
      <c r="A40" s="55" t="s">
        <v>102</v>
      </c>
      <c r="B40" s="56"/>
      <c r="C40" s="56"/>
      <c r="D40" s="56"/>
      <c r="E40" s="57"/>
      <c r="G40" s="55" t="s">
        <v>102</v>
      </c>
      <c r="H40" s="56"/>
      <c r="I40" s="56"/>
      <c r="J40" s="56"/>
      <c r="K40" s="56"/>
      <c r="L40" s="56"/>
      <c r="M40" s="57"/>
    </row>
    <row r="41" spans="1:13" ht="14.65" thickBot="1" x14ac:dyDescent="0.5">
      <c r="A41" s="62" t="s">
        <v>6</v>
      </c>
      <c r="B41" s="60"/>
      <c r="C41" s="60"/>
      <c r="D41" s="60"/>
      <c r="E41" s="61"/>
      <c r="G41" s="62" t="s">
        <v>82</v>
      </c>
      <c r="H41" s="60"/>
      <c r="I41" s="60"/>
      <c r="J41" s="60"/>
      <c r="K41" s="60"/>
      <c r="L41" s="60"/>
      <c r="M41" s="61"/>
    </row>
    <row r="42" spans="1:13" ht="14.65" thickBot="1" x14ac:dyDescent="0.5">
      <c r="A42" s="72" t="s">
        <v>28</v>
      </c>
      <c r="B42" s="24" t="s">
        <v>7</v>
      </c>
      <c r="C42" s="54">
        <v>6336.6</v>
      </c>
      <c r="E42" s="9"/>
      <c r="G42" s="8"/>
      <c r="H42" s="3" t="s">
        <v>76</v>
      </c>
      <c r="I42" s="3" t="s">
        <v>75</v>
      </c>
      <c r="J42" s="3" t="s">
        <v>77</v>
      </c>
      <c r="K42" s="3" t="s">
        <v>78</v>
      </c>
      <c r="L42" s="3" t="s">
        <v>79</v>
      </c>
      <c r="M42" s="10" t="s">
        <v>80</v>
      </c>
    </row>
    <row r="43" spans="1:13" ht="14.65" thickBot="1" x14ac:dyDescent="0.5">
      <c r="A43" s="72"/>
      <c r="B43" s="24" t="s">
        <v>8</v>
      </c>
      <c r="C43" s="54">
        <v>866.71</v>
      </c>
      <c r="D43" s="3" t="s">
        <v>9</v>
      </c>
      <c r="E43" s="10" t="s">
        <v>10</v>
      </c>
      <c r="G43" s="8" t="s">
        <v>63</v>
      </c>
      <c r="H43">
        <v>79.87</v>
      </c>
      <c r="I43">
        <v>587.12</v>
      </c>
      <c r="J43">
        <v>2.54</v>
      </c>
      <c r="K43">
        <v>16.18</v>
      </c>
      <c r="L43">
        <v>176.9</v>
      </c>
      <c r="M43" s="9">
        <v>0</v>
      </c>
    </row>
    <row r="44" spans="1:13" ht="14.65" thickBot="1" x14ac:dyDescent="0.5">
      <c r="A44" s="72" t="s">
        <v>3</v>
      </c>
      <c r="B44" s="25" t="s">
        <v>29</v>
      </c>
      <c r="C44" s="27">
        <f>'BAU Results'!C46</f>
        <v>1890.76</v>
      </c>
      <c r="D44" s="27"/>
      <c r="E44" s="11"/>
      <c r="G44" s="8" t="s">
        <v>64</v>
      </c>
      <c r="H44">
        <v>73.11</v>
      </c>
      <c r="I44">
        <v>534.64</v>
      </c>
      <c r="J44">
        <v>1.93</v>
      </c>
      <c r="K44">
        <v>12.37</v>
      </c>
      <c r="L44">
        <v>130.84</v>
      </c>
      <c r="M44" s="9">
        <v>0</v>
      </c>
    </row>
    <row r="45" spans="1:13" ht="14.65" thickBot="1" x14ac:dyDescent="0.5">
      <c r="A45" s="72"/>
      <c r="B45" s="25" t="s">
        <v>11</v>
      </c>
      <c r="C45" s="6">
        <v>560.99</v>
      </c>
      <c r="D45" s="27">
        <f>C45/$C$1</f>
        <v>1.2821456323993234</v>
      </c>
      <c r="E45" s="11">
        <f>C45/$C$2</f>
        <v>2.3617648297057214</v>
      </c>
      <c r="G45" s="8" t="s">
        <v>65</v>
      </c>
      <c r="H45">
        <v>85.5</v>
      </c>
      <c r="I45">
        <v>617.91999999999996</v>
      </c>
      <c r="J45">
        <v>1.05</v>
      </c>
      <c r="K45">
        <v>6.82</v>
      </c>
      <c r="L45">
        <v>63.13</v>
      </c>
      <c r="M45" s="9">
        <v>0.08</v>
      </c>
    </row>
    <row r="46" spans="1:13" x14ac:dyDescent="0.45">
      <c r="A46" s="72"/>
      <c r="B46" s="25" t="s">
        <v>103</v>
      </c>
      <c r="C46" s="26">
        <v>49.13</v>
      </c>
      <c r="D46" s="27"/>
      <c r="E46" s="11"/>
      <c r="G46" s="8" t="s">
        <v>66</v>
      </c>
      <c r="H46">
        <v>73.11</v>
      </c>
      <c r="I46">
        <v>534.64</v>
      </c>
      <c r="J46">
        <v>0.73</v>
      </c>
      <c r="K46">
        <v>4.6399999999999997</v>
      </c>
      <c r="L46">
        <v>25.79</v>
      </c>
      <c r="M46" s="9">
        <v>2.4500000000000002</v>
      </c>
    </row>
    <row r="47" spans="1:13" x14ac:dyDescent="0.45">
      <c r="A47" s="72"/>
      <c r="B47" s="25"/>
      <c r="C47" s="26"/>
      <c r="D47" s="27"/>
      <c r="E47" s="11"/>
      <c r="G47" s="8" t="s">
        <v>67</v>
      </c>
      <c r="H47">
        <v>83.76</v>
      </c>
      <c r="I47">
        <v>613.72</v>
      </c>
      <c r="J47">
        <v>0.94</v>
      </c>
      <c r="K47">
        <v>5.98</v>
      </c>
      <c r="L47">
        <v>2.5099999999999998</v>
      </c>
      <c r="M47" s="9">
        <v>7.49</v>
      </c>
    </row>
    <row r="48" spans="1:13" x14ac:dyDescent="0.45">
      <c r="A48" s="72"/>
      <c r="B48" s="25"/>
      <c r="C48" s="26"/>
      <c r="D48" s="27"/>
      <c r="E48" s="11"/>
      <c r="G48" s="8" t="s">
        <v>68</v>
      </c>
      <c r="H48">
        <v>79.87</v>
      </c>
      <c r="I48">
        <v>587.12</v>
      </c>
      <c r="J48">
        <v>1.78</v>
      </c>
      <c r="K48">
        <v>10.8</v>
      </c>
      <c r="L48">
        <v>0.06</v>
      </c>
      <c r="M48" s="9">
        <v>23.43</v>
      </c>
    </row>
    <row r="49" spans="1:13" ht="14.65" thickBot="1" x14ac:dyDescent="0.5">
      <c r="A49" s="72"/>
      <c r="B49" s="28" t="s">
        <v>30</v>
      </c>
      <c r="C49" s="30">
        <f>'BAU Results'!C51</f>
        <v>2059.9</v>
      </c>
      <c r="D49" s="30"/>
      <c r="E49" s="12"/>
      <c r="G49" s="8" t="s">
        <v>69</v>
      </c>
      <c r="H49">
        <v>76.489999999999995</v>
      </c>
      <c r="I49">
        <v>560.88</v>
      </c>
      <c r="J49">
        <v>3.48</v>
      </c>
      <c r="K49">
        <v>19.12</v>
      </c>
      <c r="L49">
        <v>0</v>
      </c>
      <c r="M49" s="9">
        <v>66.75</v>
      </c>
    </row>
    <row r="50" spans="1:13" ht="14.65" thickBot="1" x14ac:dyDescent="0.5">
      <c r="A50" s="72"/>
      <c r="B50" s="28" t="s">
        <v>12</v>
      </c>
      <c r="C50" s="7">
        <v>166.85</v>
      </c>
      <c r="D50" s="30">
        <f>C50/$C$1</f>
        <v>0.38133656351419298</v>
      </c>
      <c r="E50" s="12">
        <f>C50/$C$2</f>
        <v>0.70243758683113711</v>
      </c>
      <c r="G50" s="8" t="s">
        <v>70</v>
      </c>
      <c r="H50">
        <v>0</v>
      </c>
      <c r="I50">
        <v>0</v>
      </c>
      <c r="J50">
        <v>0</v>
      </c>
      <c r="K50">
        <v>0</v>
      </c>
      <c r="L50">
        <v>0</v>
      </c>
      <c r="M50" s="9">
        <v>0</v>
      </c>
    </row>
    <row r="51" spans="1:13" x14ac:dyDescent="0.45">
      <c r="A51" s="72"/>
      <c r="B51" s="28" t="s">
        <v>104</v>
      </c>
      <c r="C51" s="29">
        <v>9.1</v>
      </c>
      <c r="D51" s="29"/>
      <c r="E51" s="12"/>
      <c r="G51" s="8" t="s">
        <v>71</v>
      </c>
      <c r="H51">
        <v>78.23</v>
      </c>
      <c r="I51">
        <v>565.08000000000004</v>
      </c>
      <c r="J51">
        <v>3.38</v>
      </c>
      <c r="K51">
        <v>18.010000000000002</v>
      </c>
      <c r="L51">
        <v>0</v>
      </c>
      <c r="M51" s="9">
        <v>56.99</v>
      </c>
    </row>
    <row r="52" spans="1:13" x14ac:dyDescent="0.45">
      <c r="A52" s="72"/>
      <c r="B52" s="28"/>
      <c r="C52" s="29"/>
      <c r="D52" s="29"/>
      <c r="E52" s="12"/>
      <c r="G52" s="8" t="s">
        <v>72</v>
      </c>
      <c r="H52">
        <v>79.87</v>
      </c>
      <c r="I52">
        <v>587.12</v>
      </c>
      <c r="J52">
        <v>0.97</v>
      </c>
      <c r="K52">
        <v>6.17</v>
      </c>
      <c r="L52">
        <v>0.56999999999999995</v>
      </c>
      <c r="M52" s="9">
        <v>9.25</v>
      </c>
    </row>
    <row r="53" spans="1:13" ht="14.65" thickBot="1" x14ac:dyDescent="0.5">
      <c r="A53" s="72"/>
      <c r="B53" s="28"/>
      <c r="C53" s="29"/>
      <c r="D53" s="29"/>
      <c r="E53" s="12"/>
      <c r="G53" s="8" t="s">
        <v>73</v>
      </c>
      <c r="H53">
        <v>80.39</v>
      </c>
      <c r="I53">
        <v>587.48</v>
      </c>
      <c r="J53">
        <v>0.96</v>
      </c>
      <c r="K53">
        <v>6.25</v>
      </c>
      <c r="L53">
        <v>55.6</v>
      </c>
      <c r="M53" s="9">
        <v>0.39</v>
      </c>
    </row>
    <row r="54" spans="1:13" ht="14.65" thickBot="1" x14ac:dyDescent="0.5">
      <c r="A54" s="72"/>
      <c r="B54" s="31" t="s">
        <v>23</v>
      </c>
      <c r="C54" s="18">
        <v>19.39</v>
      </c>
      <c r="D54" s="32"/>
      <c r="E54" s="49"/>
      <c r="G54" s="8" t="s">
        <v>74</v>
      </c>
      <c r="H54">
        <v>76.489999999999995</v>
      </c>
      <c r="I54">
        <v>560.88</v>
      </c>
      <c r="J54">
        <v>1.63</v>
      </c>
      <c r="K54">
        <v>10.67</v>
      </c>
      <c r="L54">
        <v>105.58</v>
      </c>
      <c r="M54" s="9">
        <v>0</v>
      </c>
    </row>
    <row r="55" spans="1:13" ht="14.65" thickBot="1" x14ac:dyDescent="0.5">
      <c r="A55" s="72" t="s">
        <v>2</v>
      </c>
      <c r="B55" s="33" t="s">
        <v>32</v>
      </c>
      <c r="C55" s="19">
        <v>116.99</v>
      </c>
      <c r="D55" s="35"/>
      <c r="E55" s="13"/>
      <c r="G55" s="8"/>
      <c r="M55" s="9"/>
    </row>
    <row r="56" spans="1:13" ht="14.65" thickBot="1" x14ac:dyDescent="0.5">
      <c r="A56" s="72"/>
      <c r="B56" s="14" t="s">
        <v>31</v>
      </c>
      <c r="C56" s="36"/>
      <c r="D56" s="36"/>
      <c r="E56" s="50"/>
      <c r="G56" s="15" t="s">
        <v>81</v>
      </c>
      <c r="H56" s="16">
        <v>866.71</v>
      </c>
      <c r="I56" s="16">
        <v>6336.6</v>
      </c>
      <c r="J56" s="16">
        <v>19.39</v>
      </c>
      <c r="K56" s="16">
        <v>116.99</v>
      </c>
      <c r="L56" s="16">
        <v>560.99</v>
      </c>
      <c r="M56" s="21">
        <v>166.85</v>
      </c>
    </row>
    <row r="57" spans="1:13" x14ac:dyDescent="0.45">
      <c r="A57" s="72"/>
      <c r="B57" s="14" t="s">
        <v>21</v>
      </c>
      <c r="C57" s="53"/>
      <c r="D57" s="38"/>
      <c r="E57" s="51"/>
    </row>
    <row r="58" spans="1:13" x14ac:dyDescent="0.45">
      <c r="A58" s="72"/>
      <c r="B58" s="14" t="s">
        <v>22</v>
      </c>
      <c r="C58" s="36"/>
      <c r="D58" s="36"/>
      <c r="E58" s="51"/>
    </row>
    <row r="59" spans="1:13" x14ac:dyDescent="0.45">
      <c r="A59" s="8"/>
      <c r="B59" s="39" t="s">
        <v>24</v>
      </c>
      <c r="C59" s="40">
        <f>C42+C43+C45+C50+C54+C55+C57+C58</f>
        <v>8067.5300000000007</v>
      </c>
      <c r="D59" s="41"/>
      <c r="E59" s="22"/>
    </row>
    <row r="60" spans="1:13" x14ac:dyDescent="0.45">
      <c r="A60" s="8"/>
      <c r="E60" s="9"/>
    </row>
    <row r="61" spans="1:13" ht="15.75" x14ac:dyDescent="0.5">
      <c r="A61" s="72" t="s">
        <v>25</v>
      </c>
      <c r="B61" s="43" t="s">
        <v>14</v>
      </c>
      <c r="C61" s="44">
        <v>3762.5709999999999</v>
      </c>
      <c r="E61" s="9"/>
    </row>
    <row r="62" spans="1:13" ht="15.75" x14ac:dyDescent="0.5">
      <c r="A62" s="72"/>
      <c r="B62" s="43" t="s">
        <v>110</v>
      </c>
      <c r="C62" s="45">
        <v>-36.520000000000003</v>
      </c>
      <c r="E62" s="9"/>
    </row>
    <row r="63" spans="1:13" ht="15.75" x14ac:dyDescent="0.5">
      <c r="A63" s="72"/>
      <c r="B63" s="43" t="s">
        <v>15</v>
      </c>
      <c r="C63" s="45">
        <v>-111.78</v>
      </c>
      <c r="E63" s="52"/>
    </row>
    <row r="64" spans="1:13" ht="15.75" x14ac:dyDescent="0.45">
      <c r="A64" s="72"/>
      <c r="B64" s="43" t="s">
        <v>16</v>
      </c>
      <c r="C64" s="46">
        <f>C61+C62+C63</f>
        <v>3614.2709999999997</v>
      </c>
      <c r="E64" s="9"/>
    </row>
    <row r="65" spans="1:13" ht="15.75" x14ac:dyDescent="0.45">
      <c r="A65" s="72"/>
      <c r="B65" s="43" t="s">
        <v>17</v>
      </c>
      <c r="C65" s="47">
        <v>-1152.0340000000001</v>
      </c>
      <c r="E65" s="9"/>
    </row>
    <row r="66" spans="1:13" ht="15.75" x14ac:dyDescent="0.5">
      <c r="A66" s="72"/>
      <c r="B66" s="43" t="s">
        <v>18</v>
      </c>
      <c r="C66" s="44">
        <f>C64+C65</f>
        <v>2462.2369999999996</v>
      </c>
      <c r="E66" s="9"/>
    </row>
    <row r="67" spans="1:13" ht="15.75" x14ac:dyDescent="0.5">
      <c r="A67" s="72"/>
      <c r="B67" s="43" t="s">
        <v>19</v>
      </c>
      <c r="C67" s="45">
        <v>5605.3</v>
      </c>
      <c r="E67" s="9"/>
    </row>
    <row r="68" spans="1:13" ht="15.75" customHeight="1" x14ac:dyDescent="0.45">
      <c r="A68" s="72"/>
      <c r="B68" s="43" t="s">
        <v>20</v>
      </c>
      <c r="C68" s="46">
        <f>C66+C67</f>
        <v>8067.5370000000003</v>
      </c>
      <c r="D68" s="63"/>
      <c r="E68" s="64"/>
    </row>
    <row r="69" spans="1:13" x14ac:dyDescent="0.45">
      <c r="A69" s="8"/>
      <c r="D69" s="63"/>
      <c r="E69" s="64"/>
    </row>
    <row r="70" spans="1:13" x14ac:dyDescent="0.45">
      <c r="A70" s="8"/>
      <c r="D70" s="63"/>
      <c r="E70" s="64"/>
    </row>
    <row r="71" spans="1:13" ht="14.65" thickBot="1" x14ac:dyDescent="0.5">
      <c r="A71" s="15"/>
      <c r="B71" s="16"/>
      <c r="C71" s="16"/>
      <c r="D71" s="65"/>
      <c r="E71" s="66"/>
      <c r="F71" s="5"/>
    </row>
    <row r="73" spans="1:13" x14ac:dyDescent="0.45">
      <c r="A73" s="67" t="s">
        <v>84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</row>
    <row r="74" spans="1:13" ht="14.65" thickBot="1" x14ac:dyDescent="0.5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</row>
    <row r="75" spans="1:13" x14ac:dyDescent="0.45">
      <c r="A75" s="55" t="s">
        <v>102</v>
      </c>
      <c r="B75" s="56"/>
      <c r="C75" s="56"/>
      <c r="D75" s="56"/>
      <c r="E75" s="57"/>
      <c r="G75" s="55" t="s">
        <v>102</v>
      </c>
      <c r="H75" s="56"/>
      <c r="I75" s="56"/>
      <c r="J75" s="56"/>
      <c r="K75" s="56"/>
      <c r="L75" s="56"/>
      <c r="M75" s="57"/>
    </row>
    <row r="76" spans="1:13" ht="14.65" thickBot="1" x14ac:dyDescent="0.5">
      <c r="A76" s="62" t="s">
        <v>6</v>
      </c>
      <c r="B76" s="60"/>
      <c r="C76" s="60"/>
      <c r="D76" s="60"/>
      <c r="E76" s="61"/>
      <c r="G76" s="62" t="s">
        <v>82</v>
      </c>
      <c r="H76" s="60"/>
      <c r="I76" s="60"/>
      <c r="J76" s="60"/>
      <c r="K76" s="60"/>
      <c r="L76" s="60"/>
      <c r="M76" s="61"/>
    </row>
    <row r="77" spans="1:13" ht="14.65" thickBot="1" x14ac:dyDescent="0.5">
      <c r="A77" s="72" t="s">
        <v>28</v>
      </c>
      <c r="B77" s="24" t="s">
        <v>7</v>
      </c>
      <c r="C77" s="54">
        <v>6336.6</v>
      </c>
      <c r="E77" s="9"/>
      <c r="G77" s="8"/>
      <c r="H77" s="3" t="s">
        <v>76</v>
      </c>
      <c r="I77" s="3" t="s">
        <v>75</v>
      </c>
      <c r="J77" s="3" t="s">
        <v>77</v>
      </c>
      <c r="K77" s="3" t="s">
        <v>78</v>
      </c>
      <c r="L77" s="3" t="s">
        <v>79</v>
      </c>
      <c r="M77" s="10" t="s">
        <v>80</v>
      </c>
    </row>
    <row r="78" spans="1:13" ht="14.65" thickBot="1" x14ac:dyDescent="0.5">
      <c r="A78" s="72"/>
      <c r="B78" s="24" t="s">
        <v>8</v>
      </c>
      <c r="C78" s="54">
        <v>866.71</v>
      </c>
      <c r="D78" s="3" t="s">
        <v>9</v>
      </c>
      <c r="E78" s="10" t="s">
        <v>10</v>
      </c>
      <c r="G78" s="8" t="s">
        <v>63</v>
      </c>
      <c r="H78">
        <v>79.87</v>
      </c>
      <c r="I78">
        <v>587.12</v>
      </c>
      <c r="J78">
        <v>2.41</v>
      </c>
      <c r="K78">
        <v>15.42</v>
      </c>
      <c r="L78">
        <v>166.93</v>
      </c>
      <c r="M78" s="9">
        <v>0</v>
      </c>
    </row>
    <row r="79" spans="1:13" ht="14.65" thickBot="1" x14ac:dyDescent="0.5">
      <c r="A79" s="72" t="s">
        <v>3</v>
      </c>
      <c r="B79" s="25" t="s">
        <v>29</v>
      </c>
      <c r="C79" s="27">
        <f>'BAU Results'!C81</f>
        <v>1776.24</v>
      </c>
      <c r="D79" s="27"/>
      <c r="E79" s="11"/>
      <c r="G79" s="8" t="s">
        <v>64</v>
      </c>
      <c r="H79">
        <v>73.11</v>
      </c>
      <c r="I79">
        <v>534.64</v>
      </c>
      <c r="J79">
        <v>1.82</v>
      </c>
      <c r="K79">
        <v>11.73</v>
      </c>
      <c r="L79">
        <v>123.28</v>
      </c>
      <c r="M79" s="9">
        <v>0</v>
      </c>
    </row>
    <row r="80" spans="1:13" ht="14.65" thickBot="1" x14ac:dyDescent="0.5">
      <c r="A80" s="72"/>
      <c r="B80" s="25" t="s">
        <v>11</v>
      </c>
      <c r="C80" s="6">
        <v>526.04</v>
      </c>
      <c r="D80" s="27">
        <f>C80/$C$1</f>
        <v>1.2022672212826255</v>
      </c>
      <c r="E80" s="11">
        <f>C80/$C$2</f>
        <v>2.2146255209868224</v>
      </c>
      <c r="G80" s="8" t="s">
        <v>65</v>
      </c>
      <c r="H80">
        <v>85.5</v>
      </c>
      <c r="I80">
        <v>617.91999999999996</v>
      </c>
      <c r="J80">
        <v>1.03</v>
      </c>
      <c r="K80">
        <v>6.69</v>
      </c>
      <c r="L80">
        <v>62.02</v>
      </c>
      <c r="M80" s="9">
        <v>0.08</v>
      </c>
    </row>
    <row r="81" spans="1:13" x14ac:dyDescent="0.45">
      <c r="A81" s="72"/>
      <c r="B81" s="25" t="s">
        <v>103</v>
      </c>
      <c r="C81" s="26">
        <v>45.01</v>
      </c>
      <c r="D81" s="27"/>
      <c r="E81" s="11"/>
      <c r="G81" s="8" t="s">
        <v>66</v>
      </c>
      <c r="H81">
        <v>73.11</v>
      </c>
      <c r="I81">
        <v>534.64</v>
      </c>
      <c r="J81">
        <v>0.71</v>
      </c>
      <c r="K81">
        <v>4.5199999999999996</v>
      </c>
      <c r="L81">
        <v>24.2</v>
      </c>
      <c r="M81" s="9">
        <v>2.59</v>
      </c>
    </row>
    <row r="82" spans="1:13" x14ac:dyDescent="0.45">
      <c r="A82" s="72"/>
      <c r="B82" s="25"/>
      <c r="C82" s="26"/>
      <c r="D82" s="27"/>
      <c r="E82" s="11"/>
      <c r="G82" s="8" t="s">
        <v>67</v>
      </c>
      <c r="H82">
        <v>83.76</v>
      </c>
      <c r="I82">
        <v>613.72</v>
      </c>
      <c r="J82">
        <v>1.04</v>
      </c>
      <c r="K82">
        <v>6.45</v>
      </c>
      <c r="L82">
        <v>1.85</v>
      </c>
      <c r="M82" s="9">
        <v>8.6999999999999993</v>
      </c>
    </row>
    <row r="83" spans="1:13" x14ac:dyDescent="0.45">
      <c r="A83" s="72"/>
      <c r="B83" s="25"/>
      <c r="C83" s="26"/>
      <c r="D83" s="27"/>
      <c r="E83" s="11"/>
      <c r="G83" s="8" t="s">
        <v>68</v>
      </c>
      <c r="H83">
        <v>79.87</v>
      </c>
      <c r="I83">
        <v>587.12</v>
      </c>
      <c r="J83">
        <v>1.96</v>
      </c>
      <c r="K83">
        <v>11.78</v>
      </c>
      <c r="L83">
        <v>0.05</v>
      </c>
      <c r="M83" s="9">
        <v>26.61</v>
      </c>
    </row>
    <row r="84" spans="1:13" ht="14.65" thickBot="1" x14ac:dyDescent="0.5">
      <c r="A84" s="72"/>
      <c r="B84" s="28" t="s">
        <v>30</v>
      </c>
      <c r="C84" s="30">
        <f>'BAU Results'!C86</f>
        <v>2196.3000000000002</v>
      </c>
      <c r="D84" s="30"/>
      <c r="E84" s="12"/>
      <c r="G84" s="8" t="s">
        <v>69</v>
      </c>
      <c r="H84">
        <v>76.489999999999995</v>
      </c>
      <c r="I84">
        <v>560.88</v>
      </c>
      <c r="J84">
        <v>3.65</v>
      </c>
      <c r="K84">
        <v>19.62</v>
      </c>
      <c r="L84">
        <v>0</v>
      </c>
      <c r="M84" s="9">
        <v>71.819999999999993</v>
      </c>
    </row>
    <row r="85" spans="1:13" ht="14.65" thickBot="1" x14ac:dyDescent="0.5">
      <c r="A85" s="72"/>
      <c r="B85" s="28" t="s">
        <v>12</v>
      </c>
      <c r="C85" s="7">
        <v>182.79</v>
      </c>
      <c r="D85" s="30">
        <f>C85/$C$1</f>
        <v>0.41776751839831783</v>
      </c>
      <c r="E85" s="12">
        <f>C85/$C$2</f>
        <v>0.76954489959163053</v>
      </c>
      <c r="G85" s="8" t="s">
        <v>70</v>
      </c>
      <c r="H85">
        <v>0</v>
      </c>
      <c r="I85">
        <v>0</v>
      </c>
      <c r="J85">
        <v>0</v>
      </c>
      <c r="K85">
        <v>0</v>
      </c>
      <c r="L85">
        <v>0</v>
      </c>
      <c r="M85" s="9">
        <v>0</v>
      </c>
    </row>
    <row r="86" spans="1:13" x14ac:dyDescent="0.45">
      <c r="A86" s="72"/>
      <c r="B86" s="28" t="s">
        <v>104</v>
      </c>
      <c r="C86" s="29">
        <v>11.4</v>
      </c>
      <c r="D86" s="29"/>
      <c r="E86" s="12"/>
      <c r="G86" s="8" t="s">
        <v>71</v>
      </c>
      <c r="H86">
        <v>78.23</v>
      </c>
      <c r="I86">
        <v>565.08000000000004</v>
      </c>
      <c r="J86">
        <v>3.56</v>
      </c>
      <c r="K86">
        <v>18.62</v>
      </c>
      <c r="L86">
        <v>0</v>
      </c>
      <c r="M86" s="9">
        <v>62.22</v>
      </c>
    </row>
    <row r="87" spans="1:13" x14ac:dyDescent="0.45">
      <c r="A87" s="72"/>
      <c r="B87" s="28"/>
      <c r="C87" s="29"/>
      <c r="D87" s="29"/>
      <c r="E87" s="12"/>
      <c r="G87" s="8" t="s">
        <v>72</v>
      </c>
      <c r="H87">
        <v>79.87</v>
      </c>
      <c r="I87">
        <v>587.12</v>
      </c>
      <c r="J87">
        <v>1.06</v>
      </c>
      <c r="K87">
        <v>6.65</v>
      </c>
      <c r="L87">
        <v>0.46</v>
      </c>
      <c r="M87" s="9">
        <v>10.31</v>
      </c>
    </row>
    <row r="88" spans="1:13" ht="14.65" thickBot="1" x14ac:dyDescent="0.5">
      <c r="A88" s="72"/>
      <c r="B88" s="28"/>
      <c r="C88" s="29"/>
      <c r="D88" s="29"/>
      <c r="E88" s="12"/>
      <c r="G88" s="8" t="s">
        <v>73</v>
      </c>
      <c r="H88">
        <v>80.39</v>
      </c>
      <c r="I88">
        <v>587.48</v>
      </c>
      <c r="J88">
        <v>0.9</v>
      </c>
      <c r="K88">
        <v>5.86</v>
      </c>
      <c r="L88">
        <v>51.18</v>
      </c>
      <c r="M88" s="9">
        <v>0.46</v>
      </c>
    </row>
    <row r="89" spans="1:13" ht="14.65" thickBot="1" x14ac:dyDescent="0.5">
      <c r="A89" s="72"/>
      <c r="B89" s="31" t="s">
        <v>23</v>
      </c>
      <c r="C89" s="18">
        <v>19.64</v>
      </c>
      <c r="D89" s="32"/>
      <c r="E89" s="49"/>
      <c r="G89" s="8" t="s">
        <v>74</v>
      </c>
      <c r="H89">
        <v>76.489999999999995</v>
      </c>
      <c r="I89">
        <v>560.88</v>
      </c>
      <c r="J89">
        <v>1.5</v>
      </c>
      <c r="K89">
        <v>9.81</v>
      </c>
      <c r="L89">
        <v>96.07</v>
      </c>
      <c r="M89" s="9">
        <v>0</v>
      </c>
    </row>
    <row r="90" spans="1:13" ht="14.65" thickBot="1" x14ac:dyDescent="0.5">
      <c r="A90" s="72" t="s">
        <v>2</v>
      </c>
      <c r="B90" s="33" t="s">
        <v>32</v>
      </c>
      <c r="C90" s="19">
        <v>117.14</v>
      </c>
      <c r="D90" s="35"/>
      <c r="E90" s="13"/>
      <c r="G90" s="8"/>
      <c r="M90" s="9"/>
    </row>
    <row r="91" spans="1:13" ht="14.65" thickBot="1" x14ac:dyDescent="0.5">
      <c r="A91" s="72"/>
      <c r="B91" s="14" t="s">
        <v>31</v>
      </c>
      <c r="C91" s="36"/>
      <c r="D91" s="36"/>
      <c r="E91" s="50"/>
      <c r="G91" s="15" t="s">
        <v>81</v>
      </c>
      <c r="H91" s="16">
        <v>866.71</v>
      </c>
      <c r="I91" s="16">
        <v>6336.6</v>
      </c>
      <c r="J91" s="16">
        <v>19.64</v>
      </c>
      <c r="K91" s="16">
        <v>117.14</v>
      </c>
      <c r="L91" s="16">
        <v>526.04</v>
      </c>
      <c r="M91" s="21">
        <v>182.79</v>
      </c>
    </row>
    <row r="92" spans="1:13" x14ac:dyDescent="0.45">
      <c r="A92" s="72"/>
      <c r="B92" s="14" t="s">
        <v>21</v>
      </c>
      <c r="C92" s="53"/>
      <c r="D92" s="38"/>
      <c r="E92" s="51"/>
    </row>
    <row r="93" spans="1:13" x14ac:dyDescent="0.45">
      <c r="A93" s="72"/>
      <c r="B93" s="14" t="s">
        <v>22</v>
      </c>
      <c r="C93" s="36"/>
      <c r="D93" s="36"/>
      <c r="E93" s="51"/>
    </row>
    <row r="94" spans="1:13" x14ac:dyDescent="0.45">
      <c r="A94" s="8"/>
      <c r="B94" s="39" t="s">
        <v>24</v>
      </c>
      <c r="C94" s="40">
        <f>C77+C78+C80+C85+C89+C90+C92+C93</f>
        <v>8048.920000000001</v>
      </c>
      <c r="D94" s="41"/>
      <c r="E94" s="22"/>
    </row>
    <row r="95" spans="1:13" x14ac:dyDescent="0.45">
      <c r="A95" s="8"/>
      <c r="E95" s="9"/>
    </row>
    <row r="96" spans="1:13" ht="15.75" x14ac:dyDescent="0.5">
      <c r="A96" s="72" t="s">
        <v>25</v>
      </c>
      <c r="B96" s="43" t="s">
        <v>14</v>
      </c>
      <c r="C96" s="44">
        <v>3758.0169999999998</v>
      </c>
      <c r="E96" s="9"/>
    </row>
    <row r="97" spans="1:13" ht="15.75" x14ac:dyDescent="0.5">
      <c r="A97" s="72"/>
      <c r="B97" s="43" t="s">
        <v>110</v>
      </c>
      <c r="C97" s="45">
        <v>-36.51</v>
      </c>
      <c r="E97" s="9"/>
    </row>
    <row r="98" spans="1:13" ht="15.75" x14ac:dyDescent="0.5">
      <c r="A98" s="72"/>
      <c r="B98" s="43" t="s">
        <v>15</v>
      </c>
      <c r="C98" s="45">
        <v>-111.65</v>
      </c>
      <c r="E98" s="52"/>
    </row>
    <row r="99" spans="1:13" ht="15.75" x14ac:dyDescent="0.45">
      <c r="A99" s="72"/>
      <c r="B99" s="43" t="s">
        <v>16</v>
      </c>
      <c r="C99" s="46">
        <f>C96+C97+C98</f>
        <v>3609.8569999999995</v>
      </c>
      <c r="E99" s="9"/>
    </row>
    <row r="100" spans="1:13" ht="15.75" x14ac:dyDescent="0.45">
      <c r="A100" s="72"/>
      <c r="B100" s="43" t="s">
        <v>17</v>
      </c>
      <c r="C100" s="47">
        <v>-1149.345</v>
      </c>
      <c r="E100" s="9"/>
    </row>
    <row r="101" spans="1:13" ht="15.75" x14ac:dyDescent="0.5">
      <c r="A101" s="72"/>
      <c r="B101" s="43" t="s">
        <v>18</v>
      </c>
      <c r="C101" s="44">
        <f>C99+C100</f>
        <v>2460.5119999999997</v>
      </c>
      <c r="E101" s="9"/>
    </row>
    <row r="102" spans="1:13" ht="15.75" x14ac:dyDescent="0.5">
      <c r="A102" s="72"/>
      <c r="B102" s="43" t="s">
        <v>19</v>
      </c>
      <c r="C102" s="45">
        <v>5588.4009999999998</v>
      </c>
      <c r="E102" s="9"/>
    </row>
    <row r="103" spans="1:13" ht="15.75" customHeight="1" x14ac:dyDescent="0.45">
      <c r="A103" s="72"/>
      <c r="B103" s="43" t="s">
        <v>20</v>
      </c>
      <c r="C103" s="46">
        <f>C101+C102</f>
        <v>8048.9129999999996</v>
      </c>
      <c r="D103" s="63"/>
      <c r="E103" s="64"/>
    </row>
    <row r="104" spans="1:13" x14ac:dyDescent="0.45">
      <c r="A104" s="8"/>
      <c r="D104" s="63"/>
      <c r="E104" s="64"/>
    </row>
    <row r="105" spans="1:13" x14ac:dyDescent="0.45">
      <c r="A105" s="8"/>
      <c r="D105" s="63"/>
      <c r="E105" s="64"/>
    </row>
    <row r="106" spans="1:13" ht="14.65" thickBot="1" x14ac:dyDescent="0.5">
      <c r="A106" s="15"/>
      <c r="B106" s="16"/>
      <c r="C106" s="16"/>
      <c r="D106" s="65"/>
      <c r="E106" s="66"/>
      <c r="F106" s="5"/>
    </row>
    <row r="108" spans="1:13" x14ac:dyDescent="0.45">
      <c r="A108" s="67" t="s">
        <v>85</v>
      </c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</row>
    <row r="109" spans="1:13" ht="14.65" thickBot="1" x14ac:dyDescent="0.5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</row>
    <row r="110" spans="1:13" x14ac:dyDescent="0.45">
      <c r="A110" s="55" t="s">
        <v>102</v>
      </c>
      <c r="B110" s="56"/>
      <c r="C110" s="56"/>
      <c r="D110" s="56"/>
      <c r="E110" s="57"/>
      <c r="G110" s="55" t="s">
        <v>102</v>
      </c>
      <c r="H110" s="56"/>
      <c r="I110" s="56"/>
      <c r="J110" s="56"/>
      <c r="K110" s="56"/>
      <c r="L110" s="56"/>
      <c r="M110" s="57"/>
    </row>
    <row r="111" spans="1:13" ht="14.65" thickBot="1" x14ac:dyDescent="0.5">
      <c r="A111" s="62" t="s">
        <v>6</v>
      </c>
      <c r="B111" s="60"/>
      <c r="C111" s="60"/>
      <c r="D111" s="60"/>
      <c r="E111" s="61"/>
      <c r="G111" s="62" t="s">
        <v>82</v>
      </c>
      <c r="H111" s="60"/>
      <c r="I111" s="60"/>
      <c r="J111" s="60"/>
      <c r="K111" s="60"/>
      <c r="L111" s="60"/>
      <c r="M111" s="61"/>
    </row>
    <row r="112" spans="1:13" ht="14.65" thickBot="1" x14ac:dyDescent="0.5">
      <c r="A112" s="72" t="s">
        <v>28</v>
      </c>
      <c r="B112" s="24" t="s">
        <v>7</v>
      </c>
      <c r="C112" s="54">
        <v>6336.6</v>
      </c>
      <c r="E112" s="9"/>
      <c r="G112" s="8"/>
      <c r="H112" s="3" t="s">
        <v>76</v>
      </c>
      <c r="I112" s="3" t="s">
        <v>75</v>
      </c>
      <c r="J112" s="3" t="s">
        <v>77</v>
      </c>
      <c r="K112" s="3" t="s">
        <v>78</v>
      </c>
      <c r="L112" s="3" t="s">
        <v>79</v>
      </c>
      <c r="M112" s="10" t="s">
        <v>80</v>
      </c>
    </row>
    <row r="113" spans="1:13" ht="14.65" thickBot="1" x14ac:dyDescent="0.5">
      <c r="A113" s="72"/>
      <c r="B113" s="24" t="s">
        <v>8</v>
      </c>
      <c r="C113" s="54">
        <v>866.71</v>
      </c>
      <c r="D113" s="3" t="s">
        <v>9</v>
      </c>
      <c r="E113" s="10" t="s">
        <v>10</v>
      </c>
      <c r="G113" s="8" t="s">
        <v>63</v>
      </c>
      <c r="H113">
        <v>79.87</v>
      </c>
      <c r="I113">
        <v>587.12</v>
      </c>
      <c r="J113">
        <v>1.94</v>
      </c>
      <c r="K113">
        <v>12.64</v>
      </c>
      <c r="L113">
        <v>132.15</v>
      </c>
      <c r="M113" s="9">
        <v>0</v>
      </c>
    </row>
    <row r="114" spans="1:13" ht="14.65" thickBot="1" x14ac:dyDescent="0.5">
      <c r="A114" s="72" t="s">
        <v>3</v>
      </c>
      <c r="B114" s="25" t="s">
        <v>29</v>
      </c>
      <c r="C114" s="27">
        <f>'BAU Results'!C116</f>
        <v>1288.72</v>
      </c>
      <c r="D114" s="27"/>
      <c r="E114" s="11"/>
      <c r="G114" s="8" t="s">
        <v>64</v>
      </c>
      <c r="H114">
        <v>73.11</v>
      </c>
      <c r="I114">
        <v>534.64</v>
      </c>
      <c r="J114">
        <v>1.44</v>
      </c>
      <c r="K114">
        <v>9.36</v>
      </c>
      <c r="L114">
        <v>95.7</v>
      </c>
      <c r="M114" s="9">
        <v>0</v>
      </c>
    </row>
    <row r="115" spans="1:13" ht="14.65" thickBot="1" x14ac:dyDescent="0.5">
      <c r="A115" s="72"/>
      <c r="B115" s="25" t="s">
        <v>11</v>
      </c>
      <c r="C115" s="6">
        <v>379.76</v>
      </c>
      <c r="D115" s="27">
        <f>C115/$C$1</f>
        <v>0.86794350230836037</v>
      </c>
      <c r="E115" s="11">
        <f>C115/$C$2</f>
        <v>1.5987875215762219</v>
      </c>
      <c r="G115" s="8" t="s">
        <v>65</v>
      </c>
      <c r="H115">
        <v>85.5</v>
      </c>
      <c r="I115">
        <v>617.91999999999996</v>
      </c>
      <c r="J115">
        <v>0.73</v>
      </c>
      <c r="K115">
        <v>4.71</v>
      </c>
      <c r="L115">
        <v>40.299999999999997</v>
      </c>
      <c r="M115" s="9">
        <v>0.3</v>
      </c>
    </row>
    <row r="116" spans="1:13" x14ac:dyDescent="0.45">
      <c r="A116" s="72"/>
      <c r="B116" s="25" t="s">
        <v>103</v>
      </c>
      <c r="C116" s="26">
        <v>28.66</v>
      </c>
      <c r="D116" s="27"/>
      <c r="E116" s="11"/>
      <c r="G116" s="8" t="s">
        <v>66</v>
      </c>
      <c r="H116">
        <v>73.11</v>
      </c>
      <c r="I116">
        <v>534.64</v>
      </c>
      <c r="J116">
        <v>0.69</v>
      </c>
      <c r="K116">
        <v>4.08</v>
      </c>
      <c r="L116">
        <v>12.54</v>
      </c>
      <c r="M116" s="9">
        <v>4.8600000000000003</v>
      </c>
    </row>
    <row r="117" spans="1:13" x14ac:dyDescent="0.45">
      <c r="A117" s="72"/>
      <c r="B117" s="25"/>
      <c r="C117" s="26"/>
      <c r="D117" s="27"/>
      <c r="E117" s="11"/>
      <c r="G117" s="8" t="s">
        <v>67</v>
      </c>
      <c r="H117">
        <v>83.76</v>
      </c>
      <c r="I117">
        <v>613.72</v>
      </c>
      <c r="J117">
        <v>1.65</v>
      </c>
      <c r="K117">
        <v>9.67</v>
      </c>
      <c r="L117">
        <v>0.44</v>
      </c>
      <c r="M117" s="9">
        <v>17.93</v>
      </c>
    </row>
    <row r="118" spans="1:13" x14ac:dyDescent="0.45">
      <c r="A118" s="72"/>
      <c r="B118" s="25"/>
      <c r="C118" s="26"/>
      <c r="D118" s="27"/>
      <c r="E118" s="11"/>
      <c r="G118" s="8" t="s">
        <v>68</v>
      </c>
      <c r="H118">
        <v>79.87</v>
      </c>
      <c r="I118">
        <v>587.12</v>
      </c>
      <c r="J118">
        <v>2.95</v>
      </c>
      <c r="K118">
        <v>16.91</v>
      </c>
      <c r="L118">
        <v>0.01</v>
      </c>
      <c r="M118" s="9">
        <v>49.89</v>
      </c>
    </row>
    <row r="119" spans="1:13" ht="14.65" thickBot="1" x14ac:dyDescent="0.5">
      <c r="A119" s="72"/>
      <c r="B119" s="28" t="s">
        <v>30</v>
      </c>
      <c r="C119" s="30">
        <f>'BAU Results'!C121</f>
        <v>3111.28</v>
      </c>
      <c r="D119" s="30"/>
      <c r="E119" s="12"/>
      <c r="G119" s="8" t="s">
        <v>69</v>
      </c>
      <c r="H119">
        <v>76.489999999999995</v>
      </c>
      <c r="I119">
        <v>560.88</v>
      </c>
      <c r="J119">
        <v>4.6900000000000004</v>
      </c>
      <c r="K119">
        <v>22.76</v>
      </c>
      <c r="L119">
        <v>0</v>
      </c>
      <c r="M119" s="9">
        <v>109.78</v>
      </c>
    </row>
    <row r="120" spans="1:13" ht="14.65" thickBot="1" x14ac:dyDescent="0.5">
      <c r="A120" s="72"/>
      <c r="B120" s="28" t="s">
        <v>12</v>
      </c>
      <c r="C120" s="7">
        <v>309.43</v>
      </c>
      <c r="D120" s="30">
        <f>C120/$C$1</f>
        <v>0.70720391278511674</v>
      </c>
      <c r="E120" s="12">
        <f>C120/$C$2</f>
        <v>1.3026986064918116</v>
      </c>
      <c r="G120" s="8" t="s">
        <v>70</v>
      </c>
      <c r="H120">
        <v>0</v>
      </c>
      <c r="I120">
        <v>0</v>
      </c>
      <c r="J120">
        <v>0</v>
      </c>
      <c r="K120">
        <v>0</v>
      </c>
      <c r="L120">
        <v>0</v>
      </c>
      <c r="M120" s="9">
        <v>0</v>
      </c>
    </row>
    <row r="121" spans="1:13" x14ac:dyDescent="0.45">
      <c r="A121" s="72"/>
      <c r="B121" s="28" t="s">
        <v>104</v>
      </c>
      <c r="C121" s="29">
        <v>33.32</v>
      </c>
      <c r="D121" s="29"/>
      <c r="E121" s="12"/>
      <c r="G121" s="8" t="s">
        <v>71</v>
      </c>
      <c r="H121">
        <v>78.23</v>
      </c>
      <c r="I121">
        <v>565.08000000000004</v>
      </c>
      <c r="J121">
        <v>4.74</v>
      </c>
      <c r="K121">
        <v>22.68</v>
      </c>
      <c r="L121">
        <v>0</v>
      </c>
      <c r="M121" s="9">
        <v>106.09</v>
      </c>
    </row>
    <row r="122" spans="1:13" x14ac:dyDescent="0.45">
      <c r="A122" s="72"/>
      <c r="B122" s="28"/>
      <c r="C122" s="29"/>
      <c r="D122" s="29"/>
      <c r="E122" s="12"/>
      <c r="G122" s="8" t="s">
        <v>72</v>
      </c>
      <c r="H122">
        <v>79.87</v>
      </c>
      <c r="I122">
        <v>587.12</v>
      </c>
      <c r="J122">
        <v>1.71</v>
      </c>
      <c r="K122">
        <v>10.3</v>
      </c>
      <c r="L122">
        <v>0.1</v>
      </c>
      <c r="M122" s="9">
        <v>19.600000000000001</v>
      </c>
    </row>
    <row r="123" spans="1:13" ht="14.65" thickBot="1" x14ac:dyDescent="0.5">
      <c r="A123" s="72"/>
      <c r="B123" s="28"/>
      <c r="C123" s="29"/>
      <c r="D123" s="29"/>
      <c r="E123" s="12"/>
      <c r="G123" s="8" t="s">
        <v>73</v>
      </c>
      <c r="H123">
        <v>80.39</v>
      </c>
      <c r="I123">
        <v>587.48</v>
      </c>
      <c r="J123">
        <v>0.66</v>
      </c>
      <c r="K123">
        <v>4.3099999999999996</v>
      </c>
      <c r="L123">
        <v>31.19</v>
      </c>
      <c r="M123" s="9">
        <v>0.99</v>
      </c>
    </row>
    <row r="124" spans="1:13" ht="14.65" thickBot="1" x14ac:dyDescent="0.5">
      <c r="A124" s="72"/>
      <c r="B124" s="31" t="s">
        <v>23</v>
      </c>
      <c r="C124" s="18">
        <v>22.3</v>
      </c>
      <c r="D124" s="32"/>
      <c r="E124" s="49"/>
      <c r="G124" s="8" t="s">
        <v>74</v>
      </c>
      <c r="H124">
        <v>76.489999999999995</v>
      </c>
      <c r="I124">
        <v>560.88</v>
      </c>
      <c r="J124">
        <v>1.0900000000000001</v>
      </c>
      <c r="K124">
        <v>7.11</v>
      </c>
      <c r="L124">
        <v>67.33</v>
      </c>
      <c r="M124" s="9">
        <v>0</v>
      </c>
    </row>
    <row r="125" spans="1:13" ht="14.65" thickBot="1" x14ac:dyDescent="0.5">
      <c r="A125" s="72" t="s">
        <v>2</v>
      </c>
      <c r="B125" s="33" t="s">
        <v>32</v>
      </c>
      <c r="C125" s="19">
        <v>124.54</v>
      </c>
      <c r="D125" s="35"/>
      <c r="E125" s="13"/>
      <c r="G125" s="8"/>
      <c r="M125" s="9"/>
    </row>
    <row r="126" spans="1:13" ht="14.65" thickBot="1" x14ac:dyDescent="0.5">
      <c r="A126" s="72"/>
      <c r="B126" s="14" t="s">
        <v>31</v>
      </c>
      <c r="C126" s="36"/>
      <c r="D126" s="36"/>
      <c r="E126" s="50"/>
      <c r="G126" s="15" t="s">
        <v>81</v>
      </c>
      <c r="H126" s="16">
        <v>866.71</v>
      </c>
      <c r="I126" s="16">
        <v>6336.6</v>
      </c>
      <c r="J126" s="16">
        <v>22.3</v>
      </c>
      <c r="K126" s="16">
        <v>124.54</v>
      </c>
      <c r="L126" s="16">
        <v>379.76</v>
      </c>
      <c r="M126" s="21">
        <v>309.43</v>
      </c>
    </row>
    <row r="127" spans="1:13" x14ac:dyDescent="0.45">
      <c r="A127" s="72"/>
      <c r="B127" s="14" t="s">
        <v>21</v>
      </c>
      <c r="C127" s="53"/>
      <c r="D127" s="38"/>
      <c r="E127" s="51"/>
    </row>
    <row r="128" spans="1:13" x14ac:dyDescent="0.45">
      <c r="A128" s="72"/>
      <c r="B128" s="14" t="s">
        <v>22</v>
      </c>
      <c r="C128" s="36"/>
      <c r="D128" s="36"/>
      <c r="E128" s="51"/>
    </row>
    <row r="129" spans="1:6" x14ac:dyDescent="0.45">
      <c r="A129" s="8"/>
      <c r="B129" s="39" t="s">
        <v>24</v>
      </c>
      <c r="C129" s="40">
        <f>C112+C113+C115+C120+C124+C125+C127+C128</f>
        <v>8039.3400000000011</v>
      </c>
      <c r="D129" s="42"/>
      <c r="E129" s="22"/>
    </row>
    <row r="130" spans="1:6" x14ac:dyDescent="0.45">
      <c r="A130" s="8"/>
      <c r="E130" s="9"/>
    </row>
    <row r="131" spans="1:6" ht="15.75" x14ac:dyDescent="0.5">
      <c r="A131" s="72" t="s">
        <v>25</v>
      </c>
      <c r="B131" s="43" t="s">
        <v>14</v>
      </c>
      <c r="C131" s="44">
        <v>3801.6990000000001</v>
      </c>
      <c r="E131" s="9"/>
    </row>
    <row r="132" spans="1:6" ht="15.75" x14ac:dyDescent="0.5">
      <c r="A132" s="72"/>
      <c r="B132" s="43" t="s">
        <v>110</v>
      </c>
      <c r="C132" s="45">
        <v>-36.61</v>
      </c>
      <c r="E132" s="9"/>
    </row>
    <row r="133" spans="1:6" ht="15.75" x14ac:dyDescent="0.5">
      <c r="A133" s="72"/>
      <c r="B133" s="43" t="s">
        <v>15</v>
      </c>
      <c r="C133" s="45">
        <v>-112.95</v>
      </c>
      <c r="E133" s="52"/>
    </row>
    <row r="134" spans="1:6" ht="15.75" x14ac:dyDescent="0.45">
      <c r="A134" s="72"/>
      <c r="B134" s="43" t="s">
        <v>16</v>
      </c>
      <c r="C134" s="46">
        <f>C131+C132+C133</f>
        <v>3652.1390000000001</v>
      </c>
      <c r="E134" s="9"/>
    </row>
    <row r="135" spans="1:6" ht="15.75" x14ac:dyDescent="0.45">
      <c r="A135" s="72"/>
      <c r="B135" s="43" t="s">
        <v>17</v>
      </c>
      <c r="C135" s="47">
        <v>-1161.338</v>
      </c>
      <c r="E135" s="9"/>
    </row>
    <row r="136" spans="1:6" ht="15.75" x14ac:dyDescent="0.5">
      <c r="A136" s="72"/>
      <c r="B136" s="43" t="s">
        <v>18</v>
      </c>
      <c r="C136" s="44">
        <f>C134+C135</f>
        <v>2490.8010000000004</v>
      </c>
      <c r="E136" s="9"/>
    </row>
    <row r="137" spans="1:6" ht="15.75" x14ac:dyDescent="0.5">
      <c r="A137" s="72"/>
      <c r="B137" s="43" t="s">
        <v>19</v>
      </c>
      <c r="C137" s="45">
        <v>5548.5529999999999</v>
      </c>
      <c r="E137" s="9"/>
    </row>
    <row r="138" spans="1:6" ht="15.75" customHeight="1" x14ac:dyDescent="0.45">
      <c r="A138" s="72"/>
      <c r="B138" s="43" t="s">
        <v>20</v>
      </c>
      <c r="C138" s="46">
        <f>C136+C137</f>
        <v>8039.3540000000003</v>
      </c>
      <c r="D138" s="63"/>
      <c r="E138" s="64"/>
    </row>
    <row r="139" spans="1:6" x14ac:dyDescent="0.45">
      <c r="A139" s="8"/>
      <c r="D139" s="63"/>
      <c r="E139" s="64"/>
    </row>
    <row r="140" spans="1:6" x14ac:dyDescent="0.45">
      <c r="A140" s="8"/>
      <c r="D140" s="63"/>
      <c r="E140" s="64"/>
    </row>
    <row r="141" spans="1:6" ht="14.65" thickBot="1" x14ac:dyDescent="0.5">
      <c r="A141" s="15"/>
      <c r="B141" s="16"/>
      <c r="C141" s="16"/>
      <c r="D141" s="65"/>
      <c r="E141" s="66"/>
      <c r="F141" s="5"/>
    </row>
  </sheetData>
  <mergeCells count="41">
    <mergeCell ref="A114:A124"/>
    <mergeCell ref="A125:A128"/>
    <mergeCell ref="A131:A138"/>
    <mergeCell ref="D138:E141"/>
    <mergeCell ref="A108:M109"/>
    <mergeCell ref="A110:E110"/>
    <mergeCell ref="G110:M110"/>
    <mergeCell ref="A111:E111"/>
    <mergeCell ref="G111:M111"/>
    <mergeCell ref="A112:A113"/>
    <mergeCell ref="A96:A103"/>
    <mergeCell ref="D103:E106"/>
    <mergeCell ref="A55:A58"/>
    <mergeCell ref="A61:A68"/>
    <mergeCell ref="D68:E71"/>
    <mergeCell ref="A73:M74"/>
    <mergeCell ref="A75:E75"/>
    <mergeCell ref="G75:M75"/>
    <mergeCell ref="A76:E76"/>
    <mergeCell ref="G76:M76"/>
    <mergeCell ref="A77:A78"/>
    <mergeCell ref="A79:A89"/>
    <mergeCell ref="A90:A93"/>
    <mergeCell ref="A44:A54"/>
    <mergeCell ref="A10:A20"/>
    <mergeCell ref="A21:A24"/>
    <mergeCell ref="A27:A34"/>
    <mergeCell ref="D34:E34"/>
    <mergeCell ref="D35:E35"/>
    <mergeCell ref="A38:M39"/>
    <mergeCell ref="A40:E40"/>
    <mergeCell ref="G40:M40"/>
    <mergeCell ref="A41:E41"/>
    <mergeCell ref="G41:M41"/>
    <mergeCell ref="A42:A43"/>
    <mergeCell ref="A8:A9"/>
    <mergeCell ref="A4:M5"/>
    <mergeCell ref="A6:E6"/>
    <mergeCell ref="G6:M6"/>
    <mergeCell ref="A7:E7"/>
    <mergeCell ref="G7:M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BAU</vt:lpstr>
      <vt:lpstr>Multisplit</vt:lpstr>
      <vt:lpstr>HP</vt:lpstr>
      <vt:lpstr>PV</vt:lpstr>
      <vt:lpstr>EPW</vt:lpstr>
      <vt:lpstr>BAU Results</vt:lpstr>
      <vt:lpstr>Multisplit Results</vt:lpstr>
      <vt:lpstr>HP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MSF</dc:creator>
  <cp:lastModifiedBy>MSF</cp:lastModifiedBy>
  <dcterms:created xsi:type="dcterms:W3CDTF">2026-07-10T08:15:40Z</dcterms:created>
  <dcterms:modified xsi:type="dcterms:W3CDTF">2026-07-16T00:18:23Z</dcterms:modified>
</cp:coreProperties>
</file>